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職務経歴書 " sheetId="1" r:id="rId4"/>
  </sheets>
  <definedNames/>
  <calcPr/>
  <extLst>
    <ext uri="GoogleSheetsCustomDataVersion2">
      <go:sheetsCustomData xmlns:go="http://customooxmlschemas.google.com/" r:id="rId5" roundtripDataChecksum="5d2hzoDdOt+cXVDe776HbllZ4P8vX9Tj0ZPVaJx/nw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9">
      <text>
        <t xml:space="preserve">======
ID#AAABfOWisOQ
    (2025-03-23 14:59:09)
自動で計算されますので数式を消さないで下さい。</t>
      </text>
    </comment>
    <comment authorId="0" ref="B65">
      <text>
        <t xml:space="preserve">======
ID#AAABfOWisNQ
    (2025-03-23 14:59:09)
自動で計算されますので数式を消さないで下さい。</t>
      </text>
    </comment>
    <comment authorId="0" ref="B17">
      <text>
        <t xml:space="preserve">======
ID#AAABfOWisNU
    (2025-03-23 14:59:09)
自動で計算されますので数式を消さないで下さい。</t>
      </text>
    </comment>
    <comment authorId="0" ref="B53">
      <text>
        <t xml:space="preserve">======
ID#AAABfOWisNM
    (2025-03-23 14:59:09)
自動で計算されますので数式を消さないで下さい。</t>
      </text>
    </comment>
  </commentList>
  <extLst>
    <ext uri="GoogleSheetsCustomDataVersion2">
      <go:sheetsCustomData xmlns:go="http://customooxmlschemas.google.com/" r:id="rId1" roundtripDataSignature="AMtx7mhX3lDR9iC7h5Nvf+35SCDDDUTAnw=="/>
    </ext>
  </extLst>
</comments>
</file>

<file path=xl/sharedStrings.xml><?xml version="1.0" encoding="utf-8"?>
<sst xmlns="http://schemas.openxmlformats.org/spreadsheetml/2006/main" count="125" uniqueCount="68">
  <si>
    <t>フリガナ</t>
  </si>
  <si>
    <t>レイダ　ジュンイチ</t>
  </si>
  <si>
    <t>性　　別</t>
  </si>
  <si>
    <t>男</t>
  </si>
  <si>
    <t>氏　　名</t>
  </si>
  <si>
    <t>禮田　純一</t>
  </si>
  <si>
    <t>年　　齢</t>
  </si>
  <si>
    <t>住　　所</t>
  </si>
  <si>
    <t>神奈川県相模原市中央区矢部１－２２－２２－２</t>
  </si>
  <si>
    <t>最寄駅／路線</t>
  </si>
  <si>
    <t>矢部駅/JR横浜線</t>
  </si>
  <si>
    <t>資　　格</t>
  </si>
  <si>
    <t xml:space="preserve">簿記２級・AWS Certified Cloud Practitioner ・Kintoneアソシエイト                                                                                                                </t>
  </si>
  <si>
    <t>備　考</t>
  </si>
  <si>
    <t>現在の販売会社に入社して19年。経理として転職し販売管理業務を経て基幹システム刷新、AWSでの情報基盤構築・運用を経験いたしました。
アーキテクチャ領域としては財務視点と技術力を融合したデータ活用を目標に、簿記2級と経理実務経験を持つバックグラウンドを活かし、業績・財務に直結するデータ分析基盤を構築。経営層の意思決定を支える情報提供を実施してきました。その上で、AWSクラウド環境のアーキテクチャ設計から実装までを経験しましたのでワンストップで対応が可能です。
開発面では、要件定義から設計、開発、テスト、運用までのフルサイクル対応が可能なPM/PLとして、開発経験を活かし技術的課題と業務要件の橋渡しを実現してまいりました。
主な役割として、対象社員が約2万人規模のシステムの特有の負荷分散や問い合わせによる業務負荷対策などの対応を行いながら、経営層・管理部門・戦略部門・営業部門にあった要件定義を行い、年間60本以上のデータ活用ソリューションをリリースする組織のPM/PLを行ってまいりました。
また、PythonのStreamlitを活用したWebアプリケーション開発、Seleniumを用いたRPA自動化など、課題解決に必要な技術を柔軟に習得・実装・運用もおこなっており、
直近ではAIを活用した取り組みとして、AWS環境内にDifyをデプロイしてセキュアなRAG開発やAIチャットボット構築に力を入れております。</t>
  </si>
  <si>
    <t>項
番</t>
  </si>
  <si>
    <t>期　間</t>
  </si>
  <si>
    <t>作　業　概　要</t>
  </si>
  <si>
    <t>役割</t>
  </si>
  <si>
    <t>サーバ
OS</t>
  </si>
  <si>
    <t>担当工程</t>
  </si>
  <si>
    <t>業　種</t>
  </si>
  <si>
    <t>DB</t>
  </si>
  <si>
    <t>要件定義</t>
  </si>
  <si>
    <t>基本設計</t>
  </si>
  <si>
    <t>詳細設計</t>
  </si>
  <si>
    <t>製造</t>
  </si>
  <si>
    <t>試験</t>
  </si>
  <si>
    <t>運用・保守</t>
  </si>
  <si>
    <t>構築・設定</t>
  </si>
  <si>
    <t>監視</t>
  </si>
  <si>
    <t>障害対応</t>
  </si>
  <si>
    <t>補助</t>
  </si>
  <si>
    <t>その他</t>
  </si>
  <si>
    <t>人数</t>
  </si>
  <si>
    <t>システム名</t>
  </si>
  <si>
    <t>言語・ツール
・Framework・その他</t>
  </si>
  <si>
    <t>-</t>
  </si>
  <si>
    <t>【プロジェクト詳細】
　利用者約2万人に80億を超える販売データをベースに経営層・管理部門・戦略部門・営業部門からの要望に合わせたメンテナンスフリーのデータ分析をBIツールを用い提供
【作業概要】
      情報基盤のPM/PL
　　BIツール(Quicksight)を使った情報活用のPM/PL
　　情報基盤(Redshiftを使ったDWH)の立ち上げ
　　AWS S3を使ったDatalakeの立ち上げ
　　AIを使ったRAGやチャットボットの立ち上げ
      タスク管理ツールRedmineの立ち上げとplugin開発
　　オンプレシステムからのデータ連携インフラ構築
　　RedshiftからSnowflakeへの情報基盤変更
　　AWS EC2を使ったWebアプリ開発(Streamlit+Python)
  　 AWS Lambdaを使ったRPA開発(selenium)
【作業内容】
　　35を超える基幹システムから日次でデータを連携しETLツールであるMatillionを使いRedshiftにデータを格納する仕組みを立ち上げから担当。その情報をBIツール(Quicksight)を使い経営層や現場向け等、全社員2万人を対象として展開する組織にてPM/PLを担当。私を含む2名から始まったプロジェクトの組織化、インフラCloud化しセルフBI(BIツールを使い誰でも自由にデータが活用できる取り組み)化に促進。ここ数年はPM/PLを中心に、AWSのインフラ構築やPythonを使ったWebアプリ開発を実施。
　　また、Streamlitを使った販売分析AIのWebアプリや、DifyをAWS内にデプロイし、社内ネットワーク内でのみ動くセキュアなRAGの開発やAIチャットボット開発の企画・設計・開発・運用を実施。</t>
  </si>
  <si>
    <t>PM,PL,PG</t>
  </si>
  <si>
    <t>ubuntu(AWS)
Windows（AWS）</t>
  </si>
  <si>
    <t>●</t>
  </si>
  <si>
    <t>Redshift
Snowflake
mariaDB
Potsgres
Oracle
SQLServer</t>
  </si>
  <si>
    <t>エンタープライズ</t>
  </si>
  <si>
    <t>Python
JavaScript
SQL
AWS全般
Azure_OpenAI
Dify
redmine
Matillion
Databricks
Streamlit
Docker
Github
Quicksight</t>
  </si>
  <si>
    <t>情報基盤システム(DWH)構築及びセルフBI展開</t>
  </si>
  <si>
    <t>【作業概要】　開発期間：3年　168テーマ
　　基幹システムでは得られない管理・業務に沿ったデータ提供の仕組み構築。
【作業内容】
　　軽技WEBを使い複数の基幹システムのデータを紐づけ提供するServiceを基幹システムの企画担当と兼務。
　　業務改善相談から企画提案・設計・開発・テスト・保守を担当。
【システム機能】
　　4億レコードを超える実績情報を元にした各種集計。
　　別の基幹システムとの結合による情報の最新化。(顧客統合や閉店による名寄せ)
　　個別作業を伴う随時請求一覧の出力等業務アプリ作成。</t>
  </si>
  <si>
    <t>PM,PG</t>
  </si>
  <si>
    <t>Windows（オンプレ仮想）</t>
  </si>
  <si>
    <t>Oracle</t>
  </si>
  <si>
    <t>軽技WEB
SQL</t>
  </si>
  <si>
    <t>社内情報活用ツール</t>
  </si>
  <si>
    <t>【作業概要】　当初の開発期間：1週間
　　項番1と3の間に経済産業省支援のIT導入補助金の仕様に沿ったシステムを緊急で開発。その後、半年にわたり改修を実施。
【作業内容】
　　政府指定の見積書・請求書・領収書・検収書の仕様が厳しく基幹システムの対応は不可能だったため、急遽各基幹システムに連携させた外部ツール開発が必要になり、企画・設計・開発を担当。
【システム機能】
　　見積書・請求書・領収書・検収書作成
　　売上管理、入金管理、マスタ管理
　　営業システムとの連携、会計システムとの連携
　　長期契約書保管機能</t>
  </si>
  <si>
    <t>IBM Notes</t>
  </si>
  <si>
    <t>12名</t>
  </si>
  <si>
    <t xml:space="preserve">VBA
Lotsu script 
RPA
        </t>
  </si>
  <si>
    <t>IT導入補助金請求システム構築</t>
  </si>
  <si>
    <t>３</t>
  </si>
  <si>
    <t>【作業概要】　開発期間：1年　バージョンアップ129回
　　AS400と基幹システム(WEBアプリ)の情報を使った自動売上・納品書発行のRPA企画・設計・開発。
【作業内容】
　　手作業で月1万件以上実施されている売上計上の半自動化と、顧客別にまとめられた納品書出力の自動化RPAを売上業務と平行して作成。全国の業務センターと共有しながら多くの改修を行い標準ツールとして保守運用も担当。
【システム機能】
　　請求書到着管理、取引先別支払条件一覧作成、支払い明細作成、支払い変更RPA</t>
  </si>
  <si>
    <t>Windows</t>
  </si>
  <si>
    <t>ACCESS
AS400</t>
  </si>
  <si>
    <t>VBA(RPA)
Lotsu script</t>
  </si>
  <si>
    <t>自動売上計上システム</t>
  </si>
  <si>
    <t>４</t>
  </si>
  <si>
    <t>【作業概要】　開発期間：半年
　　AccessをDBとしエクセルから参照・更新するシステムの開発。
　　毎月1回のバージョンアップ(機能追加含む)。
【作業内容】
　　会計システム刷新により、上流の入力システムにしかない情報と会計システムを紐づけ、請求書原本の到着確認を行うシステム構築。また、その情報を使った支払い明細書の作成システムの構築。
　　大量の支払い変更オペレーションの自動化システム構築。
【システム機能】
　　請求書到着管理、取引先別支払条件一覧作成、支払い明細作成、支払い変更RPA</t>
  </si>
  <si>
    <t>ACCESS</t>
  </si>
  <si>
    <t>VBA
RPA</t>
  </si>
  <si>
    <t>販売管理システム構築</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</si>
</sst>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General&quot;歳&quot;"/>
    <numFmt numFmtId="165" formatCode="yyyy&quot;年&quot;m&quot;月&quot;"/>
    <numFmt numFmtId="166" formatCode="yyyy/mm/dd"/>
    <numFmt numFmtId="167" formatCode="&quot;(&quot;#&quot;ヶ月間)&quot;"/>
    <numFmt numFmtId="168" formatCode="General&quot;名&quot;"/>
  </numFmts>
  <fonts count="4">
    <font>
      <sz val="10.0"/>
      <color rgb="FF000000"/>
      <name val="Arial"/>
      <scheme val="minor"/>
    </font>
    <font>
      <b/>
      <sz val="8.0"/>
      <color theme="1"/>
      <name val="Meiryo"/>
    </font>
    <font/>
    <font>
      <sz val="8.0"/>
      <color theme="1"/>
      <name val="Meiryo"/>
    </font>
  </fonts>
  <fills count="4">
    <fill>
      <patternFill patternType="none"/>
    </fill>
    <fill>
      <patternFill patternType="lightGray"/>
    </fill>
    <fill>
      <patternFill patternType="solid">
        <fgColor rgb="FF9ACD32"/>
        <bgColor rgb="FF9ACD32"/>
      </patternFill>
    </fill>
    <fill>
      <patternFill patternType="solid">
        <fgColor rgb="FFFFFFFF"/>
        <bgColor rgb="FFFFFFFF"/>
      </patternFill>
    </fill>
  </fills>
  <borders count="90">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hair">
        <color rgb="FF000000"/>
      </bottom>
    </border>
    <border>
      <top style="medium">
        <color rgb="FF000000"/>
      </top>
      <bottom style="hair">
        <color rgb="FF000000"/>
      </bottom>
    </border>
    <border>
      <left style="thin">
        <color rgb="FF000000"/>
      </left>
      <top style="medium">
        <color rgb="FF000000"/>
      </top>
      <bottom style="thin">
        <color rgb="FF000000"/>
      </bottom>
    </border>
    <border>
      <left style="thin">
        <color rgb="FF000000"/>
      </left>
      <top style="medium">
        <color rgb="FF000000"/>
      </top>
      <bottom style="hair">
        <color rgb="FF003300"/>
      </bottom>
    </border>
    <border>
      <top style="medium">
        <color rgb="FF000000"/>
      </top>
      <bottom style="hair">
        <color rgb="FF003300"/>
      </bottom>
    </border>
    <border>
      <right style="medium">
        <color rgb="FF000000"/>
      </right>
      <top style="medium">
        <color rgb="FF000000"/>
      </top>
      <bottom style="hair">
        <color rgb="FF0033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hair">
        <color rgb="FF000000"/>
      </top>
      <bottom style="hair">
        <color rgb="FF000000"/>
      </bottom>
    </border>
    <border>
      <top style="hair">
        <color rgb="FF000000"/>
      </top>
      <bottom style="hair">
        <color rgb="FF000000"/>
      </bottom>
    </border>
    <border>
      <left style="thin">
        <color rgb="FF000000"/>
      </left>
      <top style="thin">
        <color rgb="FF000000"/>
      </top>
      <bottom style="thin">
        <color rgb="FF000000"/>
      </bottom>
    </border>
    <border>
      <left style="thin">
        <color rgb="FF000000"/>
      </left>
      <top style="hair">
        <color rgb="FF003300"/>
      </top>
      <bottom style="hair">
        <color rgb="FF003300"/>
      </bottom>
    </border>
    <border>
      <top style="hair">
        <color rgb="FF003300"/>
      </top>
      <bottom style="hair">
        <color rgb="FF003300"/>
      </bottom>
    </border>
    <border>
      <right style="medium">
        <color rgb="FF000000"/>
      </right>
      <top style="hair">
        <color rgb="FF003300"/>
      </top>
      <bottom style="hair">
        <color rgb="FF0033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medium">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right style="medium">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hair">
        <color rgb="FF000000"/>
      </right>
      <top style="medium">
        <color rgb="FF000000"/>
      </top>
    </border>
    <border>
      <left style="hair">
        <color rgb="FF000000"/>
      </left>
      <top style="medium">
        <color rgb="FF000000"/>
      </top>
    </border>
    <border>
      <left style="hair">
        <color rgb="FF000000"/>
      </left>
      <right style="hair">
        <color rgb="FF000000"/>
      </right>
      <top style="medium">
        <color rgb="FF000000"/>
      </top>
    </border>
    <border>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rder>
    <border>
      <left style="hair">
        <color rgb="FF000000"/>
      </left>
    </border>
    <border>
      <left style="hair">
        <color rgb="FF000000"/>
      </left>
      <right style="hair">
        <color rgb="FF000000"/>
      </right>
    </border>
    <border>
      <right style="hair">
        <color rgb="FF000000"/>
      </right>
    </border>
    <border>
      <left style="hair">
        <color rgb="FF000000"/>
      </left>
      <right style="medium">
        <color rgb="FF000000"/>
      </right>
    </border>
    <border>
      <left style="hair">
        <color rgb="FF000000"/>
      </left>
      <bottom style="hair">
        <color rgb="FF000000"/>
      </bottom>
    </border>
    <border>
      <right style="hair">
        <color rgb="FF000000"/>
      </right>
      <bottom style="hair">
        <color rgb="FF000000"/>
      </bottom>
    </border>
    <border>
      <left style="hair">
        <color rgb="FF000000"/>
      </left>
      <top style="hair">
        <color rgb="FF000000"/>
      </top>
    </border>
    <border>
      <right style="hair">
        <color rgb="FF000000"/>
      </right>
      <top style="hair">
        <color rgb="FF000000"/>
      </top>
    </border>
    <border>
      <bottom style="hair">
        <color rgb="FF000000"/>
      </bottom>
    </border>
    <border>
      <top style="hair">
        <color rgb="FF000000"/>
      </top>
    </border>
    <border>
      <left style="medium">
        <color rgb="FF000000"/>
      </left>
      <top style="thin">
        <color rgb="FF000000"/>
      </top>
    </border>
    <border>
      <left style="medium">
        <color rgb="FF000000"/>
      </left>
      <top style="medium">
        <color rgb="FF000000"/>
      </top>
    </border>
    <border>
      <left style="medium">
        <color rgb="FF000000"/>
      </left>
    </border>
    <border>
      <left style="medium">
        <color rgb="FF000000"/>
      </left>
      <bottom style="hair">
        <color rgb="FF000000"/>
      </bottom>
    </border>
    <border>
      <left style="medium">
        <color rgb="FF000000"/>
      </left>
      <top style="hair">
        <color rgb="FF000000"/>
      </top>
    </border>
    <border>
      <left style="medium">
        <color rgb="FF000000"/>
      </left>
      <bottom style="thin">
        <color rgb="FF000000"/>
      </bottom>
    </border>
    <border>
      <left style="medium">
        <color rgb="FF000000"/>
      </left>
      <bottom style="medium">
        <color rgb="FF000000"/>
      </bottom>
    </border>
    <border>
      <right style="hair">
        <color rgb="FF000000"/>
      </right>
      <bottom style="medium">
        <color rgb="FF000000"/>
      </bottom>
    </border>
    <border>
      <left style="hair">
        <color rgb="FF000000"/>
      </left>
      <right style="hair">
        <color rgb="FF000000"/>
      </right>
      <bottom style="medium">
        <color rgb="FF000000"/>
      </bottom>
    </border>
    <border>
      <left style="hair">
        <color rgb="FF000000"/>
      </left>
      <bottom style="medium">
        <color rgb="FF000000"/>
      </bottom>
    </border>
    <border>
      <left style="hair">
        <color rgb="FF000000"/>
      </left>
      <right style="medium">
        <color rgb="FF000000"/>
      </right>
      <bottom style="medium">
        <color rgb="FF000000"/>
      </bottom>
    </border>
    <border>
      <left style="medium">
        <color rgb="FF000000"/>
      </left>
      <right/>
      <top style="thin">
        <color rgb="FF000000"/>
      </top>
    </border>
    <border>
      <left style="medium">
        <color rgb="FF000000"/>
      </left>
      <right/>
    </border>
    <border>
      <left style="thin">
        <color rgb="FF000000"/>
      </left>
      <bottom style="hair">
        <color rgb="FF000000"/>
      </bottom>
    </border>
    <border>
      <left style="thin">
        <color rgb="FF000000"/>
      </left>
      <top style="hair">
        <color rgb="FF000000"/>
      </top>
    </border>
    <border>
      <left style="medium">
        <color rgb="FF000000"/>
      </left>
      <right/>
      <bottom style="thin">
        <color rgb="FF000000"/>
      </bottom>
    </border>
    <border>
      <right style="hair">
        <color rgb="FF000000"/>
      </right>
      <bottom style="thin">
        <color rgb="FF000000"/>
      </bottom>
    </border>
    <border>
      <left style="hair">
        <color rgb="FF000000"/>
      </left>
      <right style="hair">
        <color rgb="FF000000"/>
      </right>
      <bottom style="thin">
        <color rgb="FF000000"/>
      </bottom>
    </border>
    <border>
      <left style="hair">
        <color rgb="FF000000"/>
      </left>
      <bottom style="thin">
        <color rgb="FF000000"/>
      </bottom>
    </border>
    <border>
      <left style="hair">
        <color rgb="FF000000"/>
      </left>
      <right style="medium">
        <color rgb="FF000000"/>
      </right>
      <bottom style="thin">
        <color rgb="FF000000"/>
      </bottom>
    </border>
    <border>
      <left style="medium">
        <color rgb="FF000000"/>
      </left>
      <right/>
      <top style="medium">
        <color rgb="FF000000"/>
      </top>
    </border>
    <border>
      <left style="medium">
        <color rgb="FF000000"/>
      </left>
      <right/>
      <bottom style="medium">
        <color rgb="FF000000"/>
      </bottom>
    </border>
    <border>
      <left style="medium">
        <color rgb="FF000000"/>
      </left>
      <right style="hair">
        <color rgb="FF000000"/>
      </right>
      <bottom style="medium">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3" numFmtId="0" xfId="0" applyAlignment="1" applyBorder="1" applyFont="1">
      <alignment horizontal="left" shrinkToFit="1" vertical="center" wrapText="0"/>
    </xf>
    <xf borderId="4" fillId="0" fontId="2" numFmtId="0" xfId="0" applyBorder="1" applyFont="1"/>
    <xf borderId="5" fillId="2" fontId="1" numFmtId="0" xfId="0" applyAlignment="1" applyBorder="1" applyFont="1">
      <alignment horizontal="center" shrinkToFit="0" vertical="center" wrapText="1"/>
    </xf>
    <xf borderId="6" fillId="0" fontId="3" numFmtId="0" xfId="0" applyAlignment="1" applyBorder="1" applyFont="1">
      <alignment horizontal="left" vertical="center"/>
    </xf>
    <xf borderId="7" fillId="0" fontId="2" numFmtId="0" xfId="0" applyBorder="1" applyFont="1"/>
    <xf borderId="8" fillId="0" fontId="2" numFmtId="0" xfId="0" applyBorder="1" applyFont="1"/>
    <xf borderId="9" fillId="2" fontId="1" numFmtId="0" xfId="0" applyAlignment="1" applyBorder="1" applyFont="1">
      <alignment horizontal="center" vertical="center"/>
    </xf>
    <xf borderId="10" fillId="0" fontId="2" numFmtId="0" xfId="0" applyBorder="1" applyFont="1"/>
    <xf borderId="11" fillId="0" fontId="3" numFmtId="0" xfId="0" applyAlignment="1" applyBorder="1" applyFont="1">
      <alignment horizontal="left" shrinkToFit="1" vertical="center" wrapText="0"/>
    </xf>
    <xf borderId="12" fillId="0" fontId="2" numFmtId="0" xfId="0" applyBorder="1" applyFont="1"/>
    <xf borderId="13" fillId="2" fontId="1" numFmtId="0" xfId="0" applyAlignment="1" applyBorder="1" applyFont="1">
      <alignment horizontal="center" shrinkToFit="0" vertical="center" wrapText="1"/>
    </xf>
    <xf borderId="14" fillId="0" fontId="3" numFmtId="164" xfId="0" applyAlignment="1" applyBorder="1" applyFont="1" applyNumberFormat="1">
      <alignment horizontal="left" shrinkToFit="1" vertical="center" wrapText="0"/>
    </xf>
    <xf borderId="15" fillId="0" fontId="2" numFmtId="0" xfId="0" applyBorder="1" applyFont="1"/>
    <xf borderId="16" fillId="0" fontId="2" numFmtId="0" xfId="0" applyBorder="1" applyFont="1"/>
    <xf borderId="14" fillId="0" fontId="3" numFmtId="0" xfId="0" applyAlignment="1" applyBorder="1" applyFont="1">
      <alignment horizontal="left" shrinkToFit="1" vertical="center" wrapText="0"/>
    </xf>
    <xf borderId="17" fillId="2" fontId="1" numFmtId="0" xfId="0" applyAlignment="1" applyBorder="1" applyFont="1">
      <alignment horizontal="center" vertical="center"/>
    </xf>
    <xf borderId="18" fillId="0" fontId="2" numFmtId="0" xfId="0" applyBorder="1" applyFont="1"/>
    <xf borderId="19" fillId="0" fontId="3" numFmtId="0" xfId="0" applyAlignment="1" applyBorder="1" applyFont="1">
      <alignment horizontal="left" shrinkToFit="0" vertical="center" wrapText="1"/>
    </xf>
    <xf borderId="20" fillId="0" fontId="2" numFmtId="0" xfId="0" applyBorder="1" applyFont="1"/>
    <xf borderId="21" fillId="0" fontId="2" numFmtId="0" xfId="0" applyBorder="1" applyFont="1"/>
    <xf borderId="22" fillId="3" fontId="1" numFmtId="0" xfId="0" applyBorder="1" applyFill="1" applyFont="1"/>
    <xf borderId="22" fillId="3" fontId="3" numFmtId="0" xfId="0" applyBorder="1" applyFont="1"/>
    <xf borderId="22" fillId="3" fontId="3" numFmtId="0" xfId="0" applyAlignment="1" applyBorder="1" applyFont="1">
      <alignment shrinkToFit="0" wrapText="1"/>
    </xf>
    <xf borderId="23" fillId="2" fontId="1" numFmtId="0" xfId="0" applyAlignment="1" applyBorder="1" applyFont="1">
      <alignment textRotation="255" vertical="center"/>
    </xf>
    <xf borderId="24" fillId="3" fontId="1" numFmtId="0" xfId="0" applyAlignment="1" applyBorder="1" applyFont="1">
      <alignment readingOrder="0" shrinkToFit="0" wrapText="1"/>
    </xf>
    <xf borderId="25" fillId="0" fontId="2" numFmtId="0" xfId="0" applyBorder="1" applyFont="1"/>
    <xf borderId="26" fillId="0" fontId="2" numFmtId="0" xfId="0" applyBorder="1" applyFont="1"/>
    <xf borderId="27" fillId="2" fontId="1" numFmtId="0" xfId="0" applyAlignment="1" applyBorder="1" applyFont="1">
      <alignment horizontal="center" shrinkToFit="0" vertical="center" wrapText="1"/>
    </xf>
    <xf borderId="28" fillId="2" fontId="1" numFmtId="0" xfId="0" applyAlignment="1" applyBorder="1" applyFont="1">
      <alignment horizontal="center" vertical="center"/>
    </xf>
    <xf borderId="29" fillId="0" fontId="2" numFmtId="0" xfId="0" applyBorder="1" applyFont="1"/>
    <xf borderId="30" fillId="0" fontId="2" numFmtId="0" xfId="0" applyBorder="1" applyFont="1"/>
    <xf borderId="31" fillId="2" fontId="1" numFmtId="0" xfId="0" applyAlignment="1" applyBorder="1" applyFont="1">
      <alignment horizontal="center" shrinkToFit="0" vertical="center" wrapText="1"/>
    </xf>
    <xf borderId="28" fillId="2" fontId="1" numFmtId="0" xfId="0" applyAlignment="1" applyBorder="1" applyFont="1">
      <alignment horizontal="center" shrinkToFit="0" vertical="center" wrapText="1"/>
    </xf>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2" fontId="1" numFmtId="0" xfId="0" applyAlignment="1" applyBorder="1" applyFont="1">
      <alignment horizontal="center" vertical="center"/>
    </xf>
    <xf borderId="42" fillId="0" fontId="2" numFmtId="0" xfId="0" applyBorder="1" applyFont="1"/>
    <xf borderId="43" fillId="0" fontId="2" numFmtId="0" xfId="0" applyBorder="1" applyFont="1"/>
    <xf borderId="41" fillId="2" fontId="1" numFmtId="0" xfId="0" applyAlignment="1" applyBorder="1" applyFont="1">
      <alignment horizontal="center" shrinkToFit="0" vertical="center" wrapText="1"/>
    </xf>
    <xf borderId="44" fillId="2" fontId="1" numFmtId="0" xfId="0" applyAlignment="1" applyBorder="1" applyFont="1">
      <alignment textRotation="255" vertical="top"/>
    </xf>
    <xf borderId="45" fillId="2" fontId="1" numFmtId="0" xfId="0" applyAlignment="1" applyBorder="1" applyFont="1">
      <alignment textRotation="255" vertical="top"/>
    </xf>
    <xf borderId="46" fillId="0" fontId="2" numFmtId="0" xfId="0" applyBorder="1" applyFont="1"/>
    <xf borderId="47" fillId="0" fontId="2" numFmtId="0" xfId="0" applyBorder="1" applyFont="1"/>
    <xf borderId="19" fillId="0" fontId="2" numFmtId="0" xfId="0" applyBorder="1" applyFont="1"/>
    <xf borderId="48" fillId="0" fontId="2" numFmtId="0" xfId="0" applyBorder="1" applyFont="1"/>
    <xf borderId="49" fillId="0" fontId="2" numFmtId="0" xfId="0" applyBorder="1" applyFont="1"/>
    <xf borderId="50" fillId="0" fontId="2" numFmtId="0" xfId="0" applyBorder="1" applyFont="1"/>
    <xf borderId="51" fillId="2" fontId="3" numFmtId="0" xfId="0" applyAlignment="1" applyBorder="1" applyFont="1">
      <alignment horizontal="center" vertical="center"/>
    </xf>
    <xf borderId="52" fillId="0" fontId="3" numFmtId="165" xfId="0" applyAlignment="1" applyBorder="1" applyFont="1" applyNumberFormat="1">
      <alignment horizontal="center" shrinkToFit="1" vertical="center" wrapText="0"/>
    </xf>
    <xf borderId="29" fillId="0" fontId="3" numFmtId="165" xfId="0" applyAlignment="1" applyBorder="1" applyFont="1" applyNumberFormat="1">
      <alignment horizontal="center" shrinkToFit="1" vertical="center" wrapText="0"/>
    </xf>
    <xf borderId="29" fillId="0" fontId="3" numFmtId="166" xfId="0" applyAlignment="1" applyBorder="1" applyFont="1" applyNumberFormat="1">
      <alignment horizontal="center" shrinkToFit="1" vertical="center" wrapText="0"/>
    </xf>
    <xf borderId="53" fillId="0" fontId="3" numFmtId="0" xfId="0" applyAlignment="1" applyBorder="1" applyFont="1">
      <alignment horizontal="left" readingOrder="0" shrinkToFit="0" vertical="center" wrapText="1"/>
    </xf>
    <xf borderId="52" fillId="0" fontId="3" numFmtId="0" xfId="0" applyAlignment="1" applyBorder="1" applyFont="1">
      <alignment horizontal="center" shrinkToFit="0" vertical="center" wrapText="1"/>
    </xf>
    <xf borderId="54" fillId="0" fontId="2" numFmtId="0" xfId="0" applyBorder="1" applyFont="1"/>
    <xf borderId="52" fillId="0" fontId="3" numFmtId="0" xfId="0" applyAlignment="1" applyBorder="1" applyFont="1">
      <alignment horizontal="center" shrinkToFit="1" vertical="center" wrapText="0"/>
    </xf>
    <xf borderId="53" fillId="0" fontId="3" numFmtId="0" xfId="0" applyAlignment="1" applyBorder="1" applyFont="1">
      <alignment horizontal="center" shrinkToFit="1" vertical="center" wrapText="0"/>
    </xf>
    <xf borderId="55" fillId="0" fontId="3" numFmtId="0" xfId="0" applyAlignment="1" applyBorder="1" applyFont="1">
      <alignment horizontal="center" shrinkToFit="1" vertical="center" wrapText="0"/>
    </xf>
    <xf borderId="56" fillId="0" fontId="2" numFmtId="0" xfId="0" applyBorder="1" applyFont="1"/>
    <xf borderId="57" fillId="0" fontId="2" numFmtId="0" xfId="0" applyBorder="1" applyFont="1"/>
    <xf borderId="58" fillId="0" fontId="2" numFmtId="0" xfId="0" applyBorder="1" applyFont="1"/>
    <xf borderId="59" fillId="0" fontId="2" numFmtId="0" xfId="0" applyBorder="1" applyFont="1"/>
    <xf borderId="60" fillId="0" fontId="2" numFmtId="0" xfId="0" applyBorder="1" applyFont="1"/>
    <xf borderId="57" fillId="0" fontId="3" numFmtId="167" xfId="0" applyAlignment="1" applyBorder="1" applyFont="1" applyNumberFormat="1">
      <alignment horizontal="center" shrinkToFit="1" vertical="center" wrapText="0"/>
    </xf>
    <xf borderId="61" fillId="0" fontId="2" numFmtId="0" xfId="0" applyBorder="1" applyFont="1"/>
    <xf borderId="62" fillId="0" fontId="2" numFmtId="0" xfId="0" applyBorder="1" applyFont="1"/>
    <xf borderId="63" fillId="0" fontId="3" numFmtId="0" xfId="0" applyAlignment="1" applyBorder="1" applyFont="1">
      <alignment horizontal="center" shrinkToFit="1" vertical="center" wrapText="0"/>
    </xf>
    <xf borderId="64" fillId="0" fontId="2" numFmtId="0" xfId="0" applyBorder="1" applyFont="1"/>
    <xf borderId="65" fillId="0" fontId="2" numFmtId="0" xfId="0" applyBorder="1" applyFont="1"/>
    <xf borderId="63" fillId="0" fontId="3" numFmtId="167" xfId="0" applyAlignment="1" applyBorder="1" applyFont="1" applyNumberFormat="1">
      <alignment horizontal="left" shrinkToFit="1" vertical="center" wrapText="0"/>
    </xf>
    <xf borderId="66" fillId="0" fontId="2" numFmtId="0" xfId="0" applyBorder="1" applyFont="1"/>
    <xf borderId="63" fillId="0" fontId="3" numFmtId="168" xfId="0" applyAlignment="1" applyBorder="1" applyFont="1" applyNumberFormat="1">
      <alignment horizontal="center" shrinkToFit="0" vertical="center" wrapText="1"/>
    </xf>
    <xf borderId="63" fillId="0" fontId="3" numFmtId="0" xfId="0" applyAlignment="1" applyBorder="1" applyFont="1">
      <alignment horizontal="center" readingOrder="0" shrinkToFit="1" vertical="center" wrapText="0"/>
    </xf>
    <xf borderId="63" fillId="0" fontId="3" numFmtId="0" xfId="0" applyAlignment="1" applyBorder="1" applyFont="1">
      <alignment horizontal="left" shrinkToFit="0" vertical="center" wrapText="1"/>
    </xf>
    <xf borderId="67" fillId="2" fontId="3" numFmtId="0" xfId="0" applyAlignment="1" applyBorder="1" applyFont="1">
      <alignment horizontal="center" vertical="center"/>
    </xf>
    <xf borderId="68" fillId="0" fontId="3" numFmtId="165" xfId="0" applyAlignment="1" applyBorder="1" applyFont="1" applyNumberFormat="1">
      <alignment horizontal="center" shrinkToFit="1" vertical="center" wrapText="0"/>
    </xf>
    <xf borderId="53" fillId="0" fontId="3" numFmtId="0" xfId="0" applyAlignment="1" applyBorder="1" applyFont="1">
      <alignment horizontal="left" shrinkToFit="0" vertical="center" wrapText="1"/>
    </xf>
    <xf borderId="69" fillId="0" fontId="2" numFmtId="0" xfId="0" applyBorder="1" applyFont="1"/>
    <xf borderId="69" fillId="0" fontId="3" numFmtId="167" xfId="0" applyAlignment="1" applyBorder="1" applyFont="1" applyNumberFormat="1">
      <alignment horizontal="center" shrinkToFit="1" vertical="center" wrapText="0"/>
    </xf>
    <xf borderId="70" fillId="0" fontId="2" numFmtId="0" xfId="0" applyBorder="1" applyFont="1"/>
    <xf borderId="71" fillId="0" fontId="3" numFmtId="167" xfId="0" applyAlignment="1" applyBorder="1" applyFont="1" applyNumberFormat="1">
      <alignment horizontal="left" shrinkToFit="1" vertical="center" wrapText="0"/>
    </xf>
    <xf borderId="71" fillId="0" fontId="3" numFmtId="0" xfId="0" applyAlignment="1" applyBorder="1" applyFont="1">
      <alignment horizontal="left" shrinkToFit="0" vertical="center" wrapText="1"/>
    </xf>
    <xf borderId="72" fillId="0" fontId="2" numFmtId="0" xfId="0" applyBorder="1" applyFont="1"/>
    <xf borderId="73" fillId="0" fontId="2" numFmtId="0" xfId="0" applyBorder="1" applyFont="1"/>
    <xf borderId="74" fillId="0" fontId="2" numFmtId="0" xfId="0" applyBorder="1" applyFont="1"/>
    <xf borderId="75" fillId="0" fontId="2" numFmtId="0" xfId="0" applyBorder="1" applyFont="1"/>
    <xf borderId="76" fillId="0" fontId="2" numFmtId="0" xfId="0" applyBorder="1" applyFont="1"/>
    <xf borderId="77" fillId="0" fontId="2" numFmtId="0" xfId="0" applyBorder="1" applyFont="1"/>
    <xf borderId="78" fillId="2" fontId="3" numFmtId="0" xfId="0" applyAlignment="1" applyBorder="1" applyFont="1">
      <alignment horizontal="center" vertical="center"/>
    </xf>
    <xf borderId="38" fillId="0" fontId="3" numFmtId="165" xfId="0" applyAlignment="1" applyBorder="1" applyFont="1" applyNumberFormat="1">
      <alignment horizontal="center" shrinkToFit="1" vertical="center" wrapText="0"/>
    </xf>
    <xf borderId="0" fillId="0" fontId="3" numFmtId="165" xfId="0" applyAlignment="1" applyFont="1" applyNumberFormat="1">
      <alignment horizontal="center" shrinkToFit="1" vertical="center" wrapText="0"/>
    </xf>
    <xf borderId="57" fillId="0" fontId="3" numFmtId="165" xfId="0" applyAlignment="1" applyBorder="1" applyFont="1" applyNumberFormat="1">
      <alignment horizontal="center" shrinkToFit="1" vertical="center" wrapText="0"/>
    </xf>
    <xf borderId="58" fillId="0" fontId="3" numFmtId="0" xfId="0" applyAlignment="1" applyBorder="1" applyFont="1">
      <alignment horizontal="left" shrinkToFit="0" vertical="center" wrapText="1"/>
    </xf>
    <xf borderId="57" fillId="0" fontId="3" numFmtId="0" xfId="0" applyAlignment="1" applyBorder="1" applyFont="1">
      <alignment horizontal="center" shrinkToFit="0" vertical="center" wrapText="1"/>
    </xf>
    <xf borderId="57" fillId="0" fontId="3" numFmtId="0" xfId="0" applyAlignment="1" applyBorder="1" applyFont="1">
      <alignment horizontal="center" shrinkToFit="1" vertical="center" wrapText="0"/>
    </xf>
    <xf borderId="58" fillId="0" fontId="3" numFmtId="0" xfId="0" applyAlignment="1" applyBorder="1" applyFont="1">
      <alignment horizontal="center" shrinkToFit="1" vertical="center" wrapText="0"/>
    </xf>
    <xf borderId="60" fillId="0" fontId="3" numFmtId="0" xfId="0" applyAlignment="1" applyBorder="1" applyFont="1">
      <alignment horizontal="center" shrinkToFit="1" vertical="center" wrapText="0"/>
    </xf>
    <xf borderId="79" fillId="0" fontId="2" numFmtId="0" xfId="0" applyBorder="1" applyFont="1"/>
    <xf borderId="38" fillId="0" fontId="3" numFmtId="167" xfId="0" applyAlignment="1" applyBorder="1" applyFont="1" applyNumberFormat="1">
      <alignment horizontal="center" shrinkToFit="1" vertical="center" wrapText="0"/>
    </xf>
    <xf borderId="80" fillId="0" fontId="2" numFmtId="0" xfId="0" applyBorder="1" applyFont="1"/>
    <xf borderId="81" fillId="0" fontId="3" numFmtId="0" xfId="0" applyAlignment="1" applyBorder="1" applyFont="1">
      <alignment horizontal="left" shrinkToFit="0" vertical="center" wrapText="1"/>
    </xf>
    <xf borderId="82" fillId="0" fontId="2" numFmtId="0" xfId="0" applyBorder="1" applyFont="1"/>
    <xf borderId="83" fillId="0" fontId="2" numFmtId="0" xfId="0" applyBorder="1" applyFont="1"/>
    <xf borderId="84" fillId="0" fontId="2" numFmtId="0" xfId="0" applyBorder="1" applyFont="1"/>
    <xf borderId="85" fillId="0" fontId="2" numFmtId="0" xfId="0" applyBorder="1" applyFont="1"/>
    <xf borderId="86" fillId="0" fontId="2" numFmtId="0" xfId="0" applyBorder="1" applyFont="1"/>
    <xf borderId="87" fillId="2" fontId="3" numFmtId="0" xfId="0" applyAlignment="1" applyBorder="1" applyFont="1">
      <alignment horizontal="center" vertical="center"/>
    </xf>
    <xf borderId="28" fillId="0" fontId="3" numFmtId="165" xfId="0" applyAlignment="1" applyBorder="1" applyFont="1" applyNumberFormat="1">
      <alignment horizontal="center" shrinkToFit="1" vertical="center" wrapText="0"/>
    </xf>
    <xf borderId="88" fillId="0" fontId="2" numFmtId="0" xfId="0" applyBorder="1" applyFont="1"/>
    <xf borderId="56" fillId="2" fontId="3" numFmtId="0" xfId="0" applyAlignment="1" applyBorder="1" applyFont="1">
      <alignment horizontal="center" vertical="center"/>
    </xf>
    <xf borderId="59" fillId="0" fontId="3" numFmtId="165" xfId="0" applyAlignment="1" applyBorder="1" applyFont="1" applyNumberFormat="1">
      <alignment horizontal="center" shrinkToFit="1" vertical="center" wrapText="0"/>
    </xf>
    <xf borderId="89" fillId="0" fontId="2"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38"/>
    <col customWidth="1" min="2" max="2" width="6.88"/>
    <col customWidth="1" min="3" max="3" width="1.38"/>
    <col customWidth="1" min="4" max="4" width="6.88"/>
    <col customWidth="1" min="5" max="5" width="38.38"/>
    <col customWidth="1" min="6" max="7" width="4.13"/>
    <col customWidth="1" min="8" max="9" width="7.25"/>
    <col customWidth="1" min="10" max="20" width="3.13"/>
    <col customWidth="1" min="21" max="26" width="11.13"/>
  </cols>
  <sheetData>
    <row r="1" ht="13.5" customHeight="1">
      <c r="A1" s="1" t="s">
        <v>0</v>
      </c>
      <c r="B1" s="2"/>
      <c r="C1" s="3" t="s">
        <v>1</v>
      </c>
      <c r="D1" s="4"/>
      <c r="E1" s="4"/>
      <c r="F1" s="4"/>
      <c r="G1" s="5" t="s">
        <v>2</v>
      </c>
      <c r="H1" s="2"/>
      <c r="I1" s="6" t="s">
        <v>3</v>
      </c>
      <c r="J1" s="7"/>
      <c r="K1" s="7"/>
      <c r="L1" s="7"/>
      <c r="M1" s="7"/>
      <c r="N1" s="7"/>
      <c r="O1" s="7"/>
      <c r="P1" s="7"/>
      <c r="Q1" s="7"/>
      <c r="R1" s="7"/>
      <c r="S1" s="7"/>
      <c r="T1" s="8"/>
    </row>
    <row r="2" ht="13.5" customHeight="1">
      <c r="A2" s="9" t="s">
        <v>4</v>
      </c>
      <c r="B2" s="10"/>
      <c r="C2" s="11" t="s">
        <v>5</v>
      </c>
      <c r="D2" s="12"/>
      <c r="E2" s="12"/>
      <c r="F2" s="12"/>
      <c r="G2" s="13" t="s">
        <v>6</v>
      </c>
      <c r="H2" s="10"/>
      <c r="I2" s="14">
        <v>48.0</v>
      </c>
      <c r="J2" s="15"/>
      <c r="K2" s="15"/>
      <c r="L2" s="15"/>
      <c r="M2" s="15"/>
      <c r="N2" s="15"/>
      <c r="O2" s="15"/>
      <c r="P2" s="15"/>
      <c r="Q2" s="15"/>
      <c r="R2" s="15"/>
      <c r="S2" s="15"/>
      <c r="T2" s="16"/>
    </row>
    <row r="3" ht="13.5" customHeight="1">
      <c r="A3" s="9" t="s">
        <v>7</v>
      </c>
      <c r="B3" s="10"/>
      <c r="C3" s="11" t="s">
        <v>8</v>
      </c>
      <c r="D3" s="12"/>
      <c r="E3" s="12"/>
      <c r="F3" s="12"/>
      <c r="G3" s="13" t="s">
        <v>9</v>
      </c>
      <c r="H3" s="10"/>
      <c r="I3" s="17" t="s">
        <v>10</v>
      </c>
      <c r="J3" s="15"/>
      <c r="K3" s="15"/>
      <c r="L3" s="15"/>
      <c r="M3" s="15"/>
      <c r="N3" s="15"/>
      <c r="O3" s="15"/>
      <c r="P3" s="15"/>
      <c r="Q3" s="15"/>
      <c r="R3" s="15"/>
      <c r="S3" s="15"/>
      <c r="T3" s="16"/>
    </row>
    <row r="4" ht="33.75" customHeight="1">
      <c r="A4" s="18" t="s">
        <v>11</v>
      </c>
      <c r="B4" s="19"/>
      <c r="C4" s="20" t="s">
        <v>12</v>
      </c>
      <c r="D4" s="21"/>
      <c r="E4" s="21"/>
      <c r="F4" s="21"/>
      <c r="G4" s="21"/>
      <c r="H4" s="21"/>
      <c r="I4" s="21"/>
      <c r="J4" s="21"/>
      <c r="K4" s="21"/>
      <c r="L4" s="21"/>
      <c r="M4" s="21"/>
      <c r="N4" s="21"/>
      <c r="O4" s="21"/>
      <c r="P4" s="21"/>
      <c r="Q4" s="21"/>
      <c r="R4" s="21"/>
      <c r="S4" s="21"/>
      <c r="T4" s="22"/>
    </row>
    <row r="5" ht="4.5" customHeight="1">
      <c r="A5" s="23"/>
      <c r="B5" s="23"/>
      <c r="C5" s="24"/>
      <c r="D5" s="24"/>
      <c r="E5" s="25"/>
      <c r="F5" s="25"/>
      <c r="G5" s="25"/>
      <c r="H5" s="24"/>
      <c r="I5" s="24"/>
      <c r="J5" s="24"/>
      <c r="K5" s="24"/>
      <c r="L5" s="24"/>
      <c r="M5" s="24"/>
      <c r="N5" s="24"/>
      <c r="O5" s="24"/>
      <c r="P5" s="24"/>
      <c r="Q5" s="24"/>
      <c r="R5" s="24"/>
      <c r="S5" s="24"/>
      <c r="T5" s="24"/>
    </row>
    <row r="6" ht="90.0" customHeight="1">
      <c r="A6" s="26" t="s">
        <v>13</v>
      </c>
      <c r="B6" s="27" t="s">
        <v>14</v>
      </c>
      <c r="C6" s="28"/>
      <c r="D6" s="28"/>
      <c r="E6" s="28"/>
      <c r="F6" s="28"/>
      <c r="G6" s="28"/>
      <c r="H6" s="28"/>
      <c r="I6" s="28"/>
      <c r="J6" s="28"/>
      <c r="K6" s="28"/>
      <c r="L6" s="28"/>
      <c r="M6" s="28"/>
      <c r="N6" s="28"/>
      <c r="O6" s="28"/>
      <c r="P6" s="28"/>
      <c r="Q6" s="28"/>
      <c r="R6" s="28"/>
      <c r="S6" s="28"/>
      <c r="T6" s="29"/>
    </row>
    <row r="7" ht="4.5" customHeight="1">
      <c r="A7" s="23"/>
      <c r="B7" s="23"/>
      <c r="C7" s="24"/>
      <c r="D7" s="24"/>
      <c r="E7" s="25"/>
      <c r="F7" s="25"/>
      <c r="G7" s="25"/>
      <c r="H7" s="24"/>
      <c r="I7" s="24"/>
      <c r="J7" s="24"/>
      <c r="K7" s="24"/>
      <c r="L7" s="24"/>
      <c r="M7" s="24"/>
      <c r="N7" s="24"/>
      <c r="O7" s="24"/>
      <c r="P7" s="24"/>
      <c r="Q7" s="24"/>
      <c r="R7" s="24"/>
      <c r="S7" s="24"/>
      <c r="T7" s="24"/>
    </row>
    <row r="8" ht="13.5" customHeight="1">
      <c r="A8" s="30" t="s">
        <v>15</v>
      </c>
      <c r="B8" s="31" t="s">
        <v>16</v>
      </c>
      <c r="C8" s="32"/>
      <c r="D8" s="33"/>
      <c r="E8" s="34" t="s">
        <v>17</v>
      </c>
      <c r="F8" s="35" t="s">
        <v>18</v>
      </c>
      <c r="G8" s="33"/>
      <c r="H8" s="35" t="s">
        <v>19</v>
      </c>
      <c r="I8" s="33"/>
      <c r="J8" s="35" t="s">
        <v>20</v>
      </c>
      <c r="K8" s="32"/>
      <c r="L8" s="32"/>
      <c r="M8" s="32"/>
      <c r="N8" s="32"/>
      <c r="O8" s="32"/>
      <c r="P8" s="32"/>
      <c r="Q8" s="32"/>
      <c r="R8" s="32"/>
      <c r="S8" s="32"/>
      <c r="T8" s="36"/>
    </row>
    <row r="9" ht="13.5" customHeight="1">
      <c r="A9" s="37"/>
      <c r="B9" s="38"/>
      <c r="C9" s="39"/>
      <c r="D9" s="40"/>
      <c r="E9" s="41"/>
      <c r="F9" s="42"/>
      <c r="G9" s="43"/>
      <c r="H9" s="38"/>
      <c r="I9" s="40"/>
      <c r="J9" s="38"/>
      <c r="K9" s="39"/>
      <c r="L9" s="39"/>
      <c r="M9" s="39"/>
      <c r="N9" s="39"/>
      <c r="O9" s="39"/>
      <c r="P9" s="39"/>
      <c r="Q9" s="39"/>
      <c r="R9" s="39"/>
      <c r="S9" s="39"/>
      <c r="T9" s="44"/>
    </row>
    <row r="10" ht="13.5" customHeight="1">
      <c r="A10" s="37"/>
      <c r="B10" s="45" t="s">
        <v>21</v>
      </c>
      <c r="C10" s="46"/>
      <c r="D10" s="47"/>
      <c r="E10" s="41"/>
      <c r="F10" s="38"/>
      <c r="G10" s="40"/>
      <c r="H10" s="48" t="s">
        <v>22</v>
      </c>
      <c r="I10" s="47"/>
      <c r="J10" s="49" t="s">
        <v>23</v>
      </c>
      <c r="K10" s="49" t="s">
        <v>24</v>
      </c>
      <c r="L10" s="49" t="s">
        <v>25</v>
      </c>
      <c r="M10" s="49" t="s">
        <v>26</v>
      </c>
      <c r="N10" s="49" t="s">
        <v>27</v>
      </c>
      <c r="O10" s="49" t="s">
        <v>28</v>
      </c>
      <c r="P10" s="49" t="s">
        <v>29</v>
      </c>
      <c r="Q10" s="49" t="s">
        <v>30</v>
      </c>
      <c r="R10" s="49" t="s">
        <v>31</v>
      </c>
      <c r="S10" s="49" t="s">
        <v>32</v>
      </c>
      <c r="T10" s="50" t="s">
        <v>33</v>
      </c>
    </row>
    <row r="11" ht="13.5" customHeight="1">
      <c r="A11" s="37"/>
      <c r="B11" s="38"/>
      <c r="C11" s="39"/>
      <c r="D11" s="40"/>
      <c r="E11" s="41"/>
      <c r="F11" s="48" t="s">
        <v>34</v>
      </c>
      <c r="G11" s="47"/>
      <c r="H11" s="38"/>
      <c r="I11" s="40"/>
      <c r="J11" s="41"/>
      <c r="K11" s="41"/>
      <c r="L11" s="41"/>
      <c r="M11" s="41"/>
      <c r="N11" s="41"/>
      <c r="O11" s="41"/>
      <c r="P11" s="41"/>
      <c r="Q11" s="41"/>
      <c r="R11" s="41"/>
      <c r="S11" s="41"/>
      <c r="T11" s="51"/>
    </row>
    <row r="12" ht="13.5" customHeight="1">
      <c r="A12" s="37"/>
      <c r="B12" s="45" t="s">
        <v>35</v>
      </c>
      <c r="C12" s="46"/>
      <c r="D12" s="47"/>
      <c r="E12" s="41"/>
      <c r="F12" s="42"/>
      <c r="G12" s="43"/>
      <c r="H12" s="48" t="s">
        <v>36</v>
      </c>
      <c r="I12" s="47"/>
      <c r="J12" s="41"/>
      <c r="K12" s="41"/>
      <c r="L12" s="41"/>
      <c r="M12" s="41"/>
      <c r="N12" s="41"/>
      <c r="O12" s="41"/>
      <c r="P12" s="41"/>
      <c r="Q12" s="41"/>
      <c r="R12" s="41"/>
      <c r="S12" s="41"/>
      <c r="T12" s="51"/>
    </row>
    <row r="13" ht="13.5" customHeight="1">
      <c r="A13" s="52"/>
      <c r="B13" s="53"/>
      <c r="C13" s="21"/>
      <c r="D13" s="54"/>
      <c r="E13" s="55"/>
      <c r="F13" s="53"/>
      <c r="G13" s="54"/>
      <c r="H13" s="53"/>
      <c r="I13" s="54"/>
      <c r="J13" s="55"/>
      <c r="K13" s="55"/>
      <c r="L13" s="55"/>
      <c r="M13" s="55"/>
      <c r="N13" s="55"/>
      <c r="O13" s="55"/>
      <c r="P13" s="55"/>
      <c r="Q13" s="55"/>
      <c r="R13" s="55"/>
      <c r="S13" s="55"/>
      <c r="T13" s="56"/>
    </row>
    <row r="14" ht="9.75" customHeight="1">
      <c r="A14" s="57">
        <v>1.0</v>
      </c>
      <c r="B14" s="58">
        <v>43374.0</v>
      </c>
      <c r="C14" s="59" t="s">
        <v>37</v>
      </c>
      <c r="D14" s="60">
        <v>45747.0</v>
      </c>
      <c r="E14" s="61" t="s">
        <v>38</v>
      </c>
      <c r="F14" s="62" t="s">
        <v>39</v>
      </c>
      <c r="G14" s="63"/>
      <c r="H14" s="64" t="s">
        <v>40</v>
      </c>
      <c r="I14" s="63"/>
      <c r="J14" s="65" t="s">
        <v>41</v>
      </c>
      <c r="K14" s="65" t="s">
        <v>41</v>
      </c>
      <c r="L14" s="65" t="s">
        <v>41</v>
      </c>
      <c r="M14" s="65" t="s">
        <v>41</v>
      </c>
      <c r="N14" s="65" t="s">
        <v>41</v>
      </c>
      <c r="O14" s="65" t="s">
        <v>41</v>
      </c>
      <c r="P14" s="65" t="s">
        <v>41</v>
      </c>
      <c r="Q14" s="65" t="s">
        <v>41</v>
      </c>
      <c r="R14" s="65" t="s">
        <v>41</v>
      </c>
      <c r="S14" s="65"/>
      <c r="T14" s="66"/>
    </row>
    <row r="15" ht="9.75" customHeight="1">
      <c r="A15" s="67"/>
      <c r="B15" s="68"/>
      <c r="E15" s="69"/>
      <c r="F15" s="68"/>
      <c r="G15" s="70"/>
      <c r="H15" s="68"/>
      <c r="I15" s="70"/>
      <c r="J15" s="69"/>
      <c r="K15" s="69"/>
      <c r="L15" s="69"/>
      <c r="M15" s="69"/>
      <c r="N15" s="69"/>
      <c r="O15" s="69"/>
      <c r="P15" s="69"/>
      <c r="Q15" s="69"/>
      <c r="R15" s="69"/>
      <c r="S15" s="69"/>
      <c r="T15" s="71"/>
    </row>
    <row r="16" ht="9.75" customHeight="1">
      <c r="A16" s="67"/>
      <c r="B16" s="68"/>
      <c r="E16" s="69"/>
      <c r="F16" s="68"/>
      <c r="G16" s="70"/>
      <c r="H16" s="68"/>
      <c r="I16" s="70"/>
      <c r="J16" s="69"/>
      <c r="K16" s="69"/>
      <c r="L16" s="69"/>
      <c r="M16" s="69"/>
      <c r="N16" s="69"/>
      <c r="O16" s="69"/>
      <c r="P16" s="69"/>
      <c r="Q16" s="69"/>
      <c r="R16" s="69"/>
      <c r="S16" s="69"/>
      <c r="T16" s="71"/>
    </row>
    <row r="17" ht="9.75" customHeight="1">
      <c r="A17" s="67"/>
      <c r="B17" s="72" t="str">
        <f>IF(AND(ISNUMBER(B14),ISNUMBER(D14)),"("&amp;IF(DATEDIF(B14,D14,"YM")+1=12,DATEDIF(B14,D14,"Y")+1&amp;"年",IF(0&lt;DATEDIF(B14,D14,"Y"),DATEDIF(B14,D14,"Y")&amp;"年",""))&amp;IF(DATEDIF(B14,D14,"YM")=0,"1ヶ月",IF(DATEDIF(B14,D14,"YM")+1=12,"",DATEDIF(B14,D14,"YM")+1&amp;"ヶ月"))&amp;")","")</f>
        <v>(6年6ヶ月)</v>
      </c>
      <c r="D17" s="70"/>
      <c r="E17" s="69"/>
      <c r="F17" s="68"/>
      <c r="G17" s="70"/>
      <c r="H17" s="73"/>
      <c r="I17" s="74"/>
      <c r="J17" s="69"/>
      <c r="K17" s="69"/>
      <c r="L17" s="69"/>
      <c r="M17" s="69"/>
      <c r="N17" s="69"/>
      <c r="O17" s="69"/>
      <c r="P17" s="69"/>
      <c r="Q17" s="69"/>
      <c r="R17" s="69"/>
      <c r="S17" s="69"/>
      <c r="T17" s="71"/>
    </row>
    <row r="18" ht="9.75" customHeight="1">
      <c r="A18" s="67"/>
      <c r="B18" s="68"/>
      <c r="D18" s="70"/>
      <c r="E18" s="69"/>
      <c r="F18" s="68"/>
      <c r="G18" s="70"/>
      <c r="H18" s="75" t="s">
        <v>42</v>
      </c>
      <c r="I18" s="76"/>
      <c r="J18" s="69"/>
      <c r="K18" s="69"/>
      <c r="L18" s="69"/>
      <c r="M18" s="69"/>
      <c r="N18" s="69"/>
      <c r="O18" s="69"/>
      <c r="P18" s="69"/>
      <c r="Q18" s="69"/>
      <c r="R18" s="69"/>
      <c r="S18" s="69"/>
      <c r="T18" s="71"/>
    </row>
    <row r="19" ht="9.75" customHeight="1">
      <c r="A19" s="67"/>
      <c r="B19" s="73"/>
      <c r="C19" s="77"/>
      <c r="D19" s="74"/>
      <c r="E19" s="69"/>
      <c r="F19" s="73"/>
      <c r="G19" s="74"/>
      <c r="H19" s="68"/>
      <c r="I19" s="70"/>
      <c r="J19" s="69"/>
      <c r="K19" s="69"/>
      <c r="L19" s="69"/>
      <c r="M19" s="69"/>
      <c r="N19" s="69"/>
      <c r="O19" s="69"/>
      <c r="P19" s="69"/>
      <c r="Q19" s="69"/>
      <c r="R19" s="69"/>
      <c r="S19" s="69"/>
      <c r="T19" s="71"/>
    </row>
    <row r="20" ht="33.75" customHeight="1">
      <c r="A20" s="67"/>
      <c r="B20" s="78" t="s">
        <v>43</v>
      </c>
      <c r="C20" s="79"/>
      <c r="D20" s="76"/>
      <c r="E20" s="69"/>
      <c r="F20" s="80">
        <v>35.0</v>
      </c>
      <c r="G20" s="76"/>
      <c r="H20" s="68"/>
      <c r="I20" s="70"/>
      <c r="J20" s="69"/>
      <c r="K20" s="69"/>
      <c r="L20" s="69"/>
      <c r="M20" s="69"/>
      <c r="N20" s="69"/>
      <c r="O20" s="69"/>
      <c r="P20" s="69"/>
      <c r="Q20" s="69"/>
      <c r="R20" s="69"/>
      <c r="S20" s="69"/>
      <c r="T20" s="71"/>
    </row>
    <row r="21" ht="9.75" customHeight="1">
      <c r="A21" s="67"/>
      <c r="B21" s="68"/>
      <c r="D21" s="70"/>
      <c r="E21" s="69"/>
      <c r="F21" s="68"/>
      <c r="G21" s="70"/>
      <c r="H21" s="73"/>
      <c r="I21" s="74"/>
      <c r="J21" s="69"/>
      <c r="K21" s="69"/>
      <c r="L21" s="69"/>
      <c r="M21" s="69"/>
      <c r="N21" s="69"/>
      <c r="O21" s="69"/>
      <c r="P21" s="69"/>
      <c r="Q21" s="69"/>
      <c r="R21" s="69"/>
      <c r="S21" s="69"/>
      <c r="T21" s="71"/>
    </row>
    <row r="22" ht="9.75" customHeight="1">
      <c r="A22" s="67"/>
      <c r="B22" s="73"/>
      <c r="C22" s="77"/>
      <c r="D22" s="74"/>
      <c r="E22" s="69"/>
      <c r="F22" s="68"/>
      <c r="G22" s="70"/>
      <c r="H22" s="81" t="s">
        <v>44</v>
      </c>
      <c r="I22" s="76"/>
      <c r="J22" s="69"/>
      <c r="K22" s="69"/>
      <c r="L22" s="69"/>
      <c r="M22" s="69"/>
      <c r="N22" s="69"/>
      <c r="O22" s="69"/>
      <c r="P22" s="69"/>
      <c r="Q22" s="69"/>
      <c r="R22" s="69"/>
      <c r="S22" s="69"/>
      <c r="T22" s="71"/>
    </row>
    <row r="23" ht="9.75" customHeight="1">
      <c r="A23" s="67"/>
      <c r="B23" s="82" t="s">
        <v>45</v>
      </c>
      <c r="C23" s="79"/>
      <c r="D23" s="76"/>
      <c r="E23" s="69"/>
      <c r="F23" s="68"/>
      <c r="G23" s="70"/>
      <c r="H23" s="68"/>
      <c r="I23" s="70"/>
      <c r="J23" s="69"/>
      <c r="K23" s="69"/>
      <c r="L23" s="69"/>
      <c r="M23" s="69"/>
      <c r="N23" s="69"/>
      <c r="O23" s="69"/>
      <c r="P23" s="69"/>
      <c r="Q23" s="69"/>
      <c r="R23" s="69"/>
      <c r="S23" s="69"/>
      <c r="T23" s="71"/>
    </row>
    <row r="24" ht="9.75" customHeight="1">
      <c r="A24" s="67"/>
      <c r="B24" s="68"/>
      <c r="D24" s="70"/>
      <c r="E24" s="69"/>
      <c r="F24" s="68"/>
      <c r="G24" s="70"/>
      <c r="H24" s="68"/>
      <c r="I24" s="70"/>
      <c r="J24" s="69"/>
      <c r="K24" s="69"/>
      <c r="L24" s="69"/>
      <c r="M24" s="69"/>
      <c r="N24" s="69"/>
      <c r="O24" s="69"/>
      <c r="P24" s="69"/>
      <c r="Q24" s="69"/>
      <c r="R24" s="69"/>
      <c r="S24" s="69"/>
      <c r="T24" s="71"/>
    </row>
    <row r="25" ht="205.5" customHeight="1">
      <c r="A25" s="67"/>
      <c r="B25" s="68"/>
      <c r="D25" s="70"/>
      <c r="E25" s="69"/>
      <c r="F25" s="68"/>
      <c r="G25" s="70"/>
      <c r="H25" s="68"/>
      <c r="I25" s="70"/>
      <c r="J25" s="69"/>
      <c r="K25" s="69"/>
      <c r="L25" s="69"/>
      <c r="M25" s="69"/>
      <c r="N25" s="69"/>
      <c r="O25" s="69"/>
      <c r="P25" s="69"/>
      <c r="Q25" s="69"/>
      <c r="R25" s="69"/>
      <c r="S25" s="69"/>
      <c r="T25" s="71"/>
    </row>
    <row r="26" ht="9.75" customHeight="1">
      <c r="A26" s="83">
        <v>2.0</v>
      </c>
      <c r="B26" s="84">
        <v>42095.0</v>
      </c>
      <c r="C26" s="59" t="s">
        <v>37</v>
      </c>
      <c r="D26" s="58">
        <v>43344.0</v>
      </c>
      <c r="E26" s="85" t="s">
        <v>46</v>
      </c>
      <c r="F26" s="62" t="s">
        <v>47</v>
      </c>
      <c r="G26" s="63"/>
      <c r="H26" s="64" t="s">
        <v>48</v>
      </c>
      <c r="I26" s="63"/>
      <c r="J26" s="65" t="s">
        <v>41</v>
      </c>
      <c r="K26" s="65" t="s">
        <v>41</v>
      </c>
      <c r="L26" s="65" t="s">
        <v>41</v>
      </c>
      <c r="M26" s="65" t="s">
        <v>41</v>
      </c>
      <c r="N26" s="65" t="s">
        <v>41</v>
      </c>
      <c r="O26" s="65" t="s">
        <v>41</v>
      </c>
      <c r="P26" s="65" t="s">
        <v>41</v>
      </c>
      <c r="Q26" s="65" t="s">
        <v>41</v>
      </c>
      <c r="R26" s="65" t="s">
        <v>41</v>
      </c>
      <c r="S26" s="65"/>
      <c r="T26" s="66"/>
    </row>
    <row r="27" ht="9.75" customHeight="1">
      <c r="A27" s="86"/>
      <c r="B27" s="86"/>
      <c r="D27" s="68"/>
      <c r="E27" s="69"/>
      <c r="F27" s="68"/>
      <c r="G27" s="70"/>
      <c r="H27" s="68"/>
      <c r="I27" s="70"/>
      <c r="J27" s="69"/>
      <c r="K27" s="69"/>
      <c r="L27" s="69"/>
      <c r="M27" s="69"/>
      <c r="N27" s="69"/>
      <c r="O27" s="69"/>
      <c r="P27" s="69"/>
      <c r="Q27" s="69"/>
      <c r="R27" s="69"/>
      <c r="S27" s="69"/>
      <c r="T27" s="71"/>
    </row>
    <row r="28" ht="9.75" customHeight="1">
      <c r="A28" s="86"/>
      <c r="B28" s="86"/>
      <c r="D28" s="68"/>
      <c r="E28" s="69"/>
      <c r="F28" s="68"/>
      <c r="G28" s="70"/>
      <c r="H28" s="68"/>
      <c r="I28" s="70"/>
      <c r="J28" s="69"/>
      <c r="K28" s="69"/>
      <c r="L28" s="69"/>
      <c r="M28" s="69"/>
      <c r="N28" s="69"/>
      <c r="O28" s="69"/>
      <c r="P28" s="69"/>
      <c r="Q28" s="69"/>
      <c r="R28" s="69"/>
      <c r="S28" s="69"/>
      <c r="T28" s="71"/>
    </row>
    <row r="29" ht="9.75" customHeight="1">
      <c r="A29" s="86"/>
      <c r="B29" s="87" t="str">
        <f>IF(AND(ISNUMBER(B26),ISNUMBER(D26)),"("&amp;IF(DATEDIF(B26,D26,"YM")+1=12,DATEDIF(B26,D26,"Y")+1&amp;"年",IF(0&lt;DATEDIF(B26,D26,"Y"),DATEDIF(B26,D26,"Y")&amp;"年",""))&amp;IF(DATEDIF(B26,D26,"YM")=0,"1ヶ月",IF(DATEDIF(B26,D26,"YM")+1=12,"",DATEDIF(B26,D26,"YM")+1&amp;"ヶ月"))&amp;")","")</f>
        <v>(3年6ヶ月)</v>
      </c>
      <c r="D29" s="70"/>
      <c r="E29" s="69"/>
      <c r="F29" s="68"/>
      <c r="G29" s="70"/>
      <c r="H29" s="73"/>
      <c r="I29" s="74"/>
      <c r="J29" s="69"/>
      <c r="K29" s="69"/>
      <c r="L29" s="69"/>
      <c r="M29" s="69"/>
      <c r="N29" s="69"/>
      <c r="O29" s="69"/>
      <c r="P29" s="69"/>
      <c r="Q29" s="69"/>
      <c r="R29" s="69"/>
      <c r="S29" s="69"/>
      <c r="T29" s="71"/>
    </row>
    <row r="30" ht="9.75" customHeight="1">
      <c r="A30" s="86"/>
      <c r="B30" s="86"/>
      <c r="D30" s="70"/>
      <c r="E30" s="69"/>
      <c r="F30" s="68"/>
      <c r="G30" s="70"/>
      <c r="H30" s="75" t="s">
        <v>49</v>
      </c>
      <c r="I30" s="76"/>
      <c r="J30" s="69"/>
      <c r="K30" s="69"/>
      <c r="L30" s="69"/>
      <c r="M30" s="69"/>
      <c r="N30" s="69"/>
      <c r="O30" s="69"/>
      <c r="P30" s="69"/>
      <c r="Q30" s="69"/>
      <c r="R30" s="69"/>
      <c r="S30" s="69"/>
      <c r="T30" s="71"/>
    </row>
    <row r="31" ht="9.75" customHeight="1">
      <c r="A31" s="86"/>
      <c r="B31" s="88"/>
      <c r="C31" s="77"/>
      <c r="D31" s="74"/>
      <c r="E31" s="69"/>
      <c r="F31" s="73"/>
      <c r="G31" s="74"/>
      <c r="H31" s="68"/>
      <c r="I31" s="70"/>
      <c r="J31" s="69"/>
      <c r="K31" s="69"/>
      <c r="L31" s="69"/>
      <c r="M31" s="69"/>
      <c r="N31" s="69"/>
      <c r="O31" s="69"/>
      <c r="P31" s="69"/>
      <c r="Q31" s="69"/>
      <c r="R31" s="69"/>
      <c r="S31" s="69"/>
      <c r="T31" s="71"/>
    </row>
    <row r="32" ht="9.75" customHeight="1">
      <c r="A32" s="86"/>
      <c r="B32" s="89" t="s">
        <v>43</v>
      </c>
      <c r="C32" s="79"/>
      <c r="D32" s="76"/>
      <c r="E32" s="69"/>
      <c r="F32" s="80">
        <v>3.0</v>
      </c>
      <c r="G32" s="76"/>
      <c r="H32" s="68"/>
      <c r="I32" s="70"/>
      <c r="J32" s="69"/>
      <c r="K32" s="69"/>
      <c r="L32" s="69"/>
      <c r="M32" s="69"/>
      <c r="N32" s="69"/>
      <c r="O32" s="69"/>
      <c r="P32" s="69"/>
      <c r="Q32" s="69"/>
      <c r="R32" s="69"/>
      <c r="S32" s="69"/>
      <c r="T32" s="71"/>
    </row>
    <row r="33" ht="9.75" customHeight="1">
      <c r="A33" s="86"/>
      <c r="B33" s="86"/>
      <c r="D33" s="70"/>
      <c r="E33" s="69"/>
      <c r="F33" s="68"/>
      <c r="G33" s="70"/>
      <c r="H33" s="73"/>
      <c r="I33" s="74"/>
      <c r="J33" s="69"/>
      <c r="K33" s="69"/>
      <c r="L33" s="69"/>
      <c r="M33" s="69"/>
      <c r="N33" s="69"/>
      <c r="O33" s="69"/>
      <c r="P33" s="69"/>
      <c r="Q33" s="69"/>
      <c r="R33" s="69"/>
      <c r="S33" s="69"/>
      <c r="T33" s="71"/>
    </row>
    <row r="34" ht="9.75" customHeight="1">
      <c r="A34" s="86"/>
      <c r="B34" s="88"/>
      <c r="C34" s="77"/>
      <c r="D34" s="74"/>
      <c r="E34" s="69"/>
      <c r="F34" s="68"/>
      <c r="G34" s="70"/>
      <c r="H34" s="75" t="s">
        <v>50</v>
      </c>
      <c r="I34" s="76"/>
      <c r="J34" s="69"/>
      <c r="K34" s="69"/>
      <c r="L34" s="69"/>
      <c r="M34" s="69"/>
      <c r="N34" s="69"/>
      <c r="O34" s="69"/>
      <c r="P34" s="69"/>
      <c r="Q34" s="69"/>
      <c r="R34" s="69"/>
      <c r="S34" s="69"/>
      <c r="T34" s="71"/>
    </row>
    <row r="35" ht="9.75" customHeight="1">
      <c r="A35" s="86"/>
      <c r="B35" s="90" t="s">
        <v>51</v>
      </c>
      <c r="C35" s="79"/>
      <c r="D35" s="76"/>
      <c r="E35" s="69"/>
      <c r="F35" s="68"/>
      <c r="G35" s="70"/>
      <c r="H35" s="68"/>
      <c r="I35" s="70"/>
      <c r="J35" s="69"/>
      <c r="K35" s="69"/>
      <c r="L35" s="69"/>
      <c r="M35" s="69"/>
      <c r="N35" s="69"/>
      <c r="O35" s="69"/>
      <c r="P35" s="69"/>
      <c r="Q35" s="69"/>
      <c r="R35" s="69"/>
      <c r="S35" s="69"/>
      <c r="T35" s="71"/>
    </row>
    <row r="36" ht="9.75" customHeight="1">
      <c r="A36" s="86"/>
      <c r="B36" s="86"/>
      <c r="D36" s="70"/>
      <c r="E36" s="69"/>
      <c r="F36" s="68"/>
      <c r="G36" s="70"/>
      <c r="H36" s="68"/>
      <c r="I36" s="70"/>
      <c r="J36" s="69"/>
      <c r="K36" s="69"/>
      <c r="L36" s="69"/>
      <c r="M36" s="69"/>
      <c r="N36" s="69"/>
      <c r="O36" s="69"/>
      <c r="P36" s="69"/>
      <c r="Q36" s="69"/>
      <c r="R36" s="69"/>
      <c r="S36" s="69"/>
      <c r="T36" s="71"/>
    </row>
    <row r="37" ht="94.5" customHeight="1">
      <c r="A37" s="91"/>
      <c r="B37" s="92"/>
      <c r="C37" s="21"/>
      <c r="D37" s="93"/>
      <c r="E37" s="94"/>
      <c r="F37" s="95"/>
      <c r="G37" s="93"/>
      <c r="H37" s="95"/>
      <c r="I37" s="93"/>
      <c r="J37" s="94"/>
      <c r="K37" s="94"/>
      <c r="L37" s="94"/>
      <c r="M37" s="94"/>
      <c r="N37" s="94"/>
      <c r="O37" s="94"/>
      <c r="P37" s="94"/>
      <c r="Q37" s="94"/>
      <c r="R37" s="94"/>
      <c r="S37" s="94"/>
      <c r="T37" s="96"/>
    </row>
    <row r="38" ht="9.75" customHeight="1">
      <c r="A38" s="97">
        <v>2.0</v>
      </c>
      <c r="B38" s="98">
        <v>42736.0</v>
      </c>
      <c r="C38" s="99" t="s">
        <v>37</v>
      </c>
      <c r="D38" s="100">
        <v>42979.0</v>
      </c>
      <c r="E38" s="101" t="s">
        <v>52</v>
      </c>
      <c r="F38" s="102" t="s">
        <v>47</v>
      </c>
      <c r="G38" s="70"/>
      <c r="H38" s="103" t="s">
        <v>48</v>
      </c>
      <c r="I38" s="70"/>
      <c r="J38" s="104" t="s">
        <v>41</v>
      </c>
      <c r="K38" s="104" t="s">
        <v>41</v>
      </c>
      <c r="L38" s="104" t="s">
        <v>41</v>
      </c>
      <c r="M38" s="104" t="s">
        <v>41</v>
      </c>
      <c r="N38" s="104" t="s">
        <v>41</v>
      </c>
      <c r="O38" s="104" t="s">
        <v>41</v>
      </c>
      <c r="P38" s="104" t="s">
        <v>41</v>
      </c>
      <c r="Q38" s="104" t="s">
        <v>41</v>
      </c>
      <c r="R38" s="104" t="s">
        <v>41</v>
      </c>
      <c r="S38" s="104"/>
      <c r="T38" s="105"/>
    </row>
    <row r="39" ht="9.75" customHeight="1">
      <c r="A39" s="106"/>
      <c r="B39" s="42"/>
      <c r="D39" s="68"/>
      <c r="E39" s="69"/>
      <c r="F39" s="68"/>
      <c r="G39" s="70"/>
      <c r="H39" s="68"/>
      <c r="I39" s="70"/>
      <c r="J39" s="69"/>
      <c r="K39" s="69"/>
      <c r="L39" s="69"/>
      <c r="M39" s="69"/>
      <c r="N39" s="69"/>
      <c r="O39" s="69"/>
      <c r="P39" s="69"/>
      <c r="Q39" s="69"/>
      <c r="R39" s="69"/>
      <c r="S39" s="69"/>
      <c r="T39" s="71"/>
    </row>
    <row r="40" ht="9.75" customHeight="1">
      <c r="A40" s="106"/>
      <c r="B40" s="42"/>
      <c r="D40" s="68"/>
      <c r="E40" s="69"/>
      <c r="F40" s="68"/>
      <c r="G40" s="70"/>
      <c r="H40" s="68"/>
      <c r="I40" s="70"/>
      <c r="J40" s="69"/>
      <c r="K40" s="69"/>
      <c r="L40" s="69"/>
      <c r="M40" s="69"/>
      <c r="N40" s="69"/>
      <c r="O40" s="69"/>
      <c r="P40" s="69"/>
      <c r="Q40" s="69"/>
      <c r="R40" s="69"/>
      <c r="S40" s="69"/>
      <c r="T40" s="71"/>
    </row>
    <row r="41" ht="9.75" customHeight="1">
      <c r="A41" s="106"/>
      <c r="B41" s="107" t="str">
        <f>IF(AND(ISNUMBER(B38),ISNUMBER(D38)),"("&amp;IF(DATEDIF(B38,D38,"YM")+1=12,DATEDIF(B38,D38,"Y")+1&amp;"年",IF(0&lt;DATEDIF(B38,D38,"Y"),DATEDIF(B38,D38,"Y")&amp;"年",""))&amp;IF(DATEDIF(B38,D38,"YM")=0,"1ヶ月",IF(DATEDIF(B38,D38,"YM")+1=12,"",DATEDIF(B38,D38,"YM")+1&amp;"ヶ月"))&amp;")","")</f>
        <v>(9ヶ月)</v>
      </c>
      <c r="D41" s="70"/>
      <c r="E41" s="69"/>
      <c r="F41" s="68"/>
      <c r="G41" s="70"/>
      <c r="H41" s="73"/>
      <c r="I41" s="74"/>
      <c r="J41" s="69"/>
      <c r="K41" s="69"/>
      <c r="L41" s="69"/>
      <c r="M41" s="69"/>
      <c r="N41" s="69"/>
      <c r="O41" s="69"/>
      <c r="P41" s="69"/>
      <c r="Q41" s="69"/>
      <c r="R41" s="69"/>
      <c r="S41" s="69"/>
      <c r="T41" s="71"/>
    </row>
    <row r="42" ht="9.75" customHeight="1">
      <c r="A42" s="106"/>
      <c r="B42" s="42"/>
      <c r="D42" s="70"/>
      <c r="E42" s="69"/>
      <c r="F42" s="68"/>
      <c r="G42" s="70"/>
      <c r="H42" s="75" t="s">
        <v>53</v>
      </c>
      <c r="I42" s="76"/>
      <c r="J42" s="69"/>
      <c r="K42" s="69"/>
      <c r="L42" s="69"/>
      <c r="M42" s="69"/>
      <c r="N42" s="69"/>
      <c r="O42" s="69"/>
      <c r="P42" s="69"/>
      <c r="Q42" s="69"/>
      <c r="R42" s="69"/>
      <c r="S42" s="69"/>
      <c r="T42" s="71"/>
    </row>
    <row r="43" ht="9.75" customHeight="1">
      <c r="A43" s="106"/>
      <c r="B43" s="108"/>
      <c r="C43" s="77"/>
      <c r="D43" s="74"/>
      <c r="E43" s="69"/>
      <c r="F43" s="73"/>
      <c r="G43" s="74"/>
      <c r="H43" s="68"/>
      <c r="I43" s="70"/>
      <c r="J43" s="69"/>
      <c r="K43" s="69"/>
      <c r="L43" s="69"/>
      <c r="M43" s="69"/>
      <c r="N43" s="69"/>
      <c r="O43" s="69"/>
      <c r="P43" s="69"/>
      <c r="Q43" s="69"/>
      <c r="R43" s="69"/>
      <c r="S43" s="69"/>
      <c r="T43" s="71"/>
    </row>
    <row r="44" ht="9.75" customHeight="1">
      <c r="A44" s="106"/>
      <c r="B44" s="78" t="s">
        <v>43</v>
      </c>
      <c r="C44" s="79"/>
      <c r="D44" s="76"/>
      <c r="E44" s="69"/>
      <c r="F44" s="80" t="s">
        <v>54</v>
      </c>
      <c r="G44" s="76"/>
      <c r="H44" s="68"/>
      <c r="I44" s="70"/>
      <c r="J44" s="69"/>
      <c r="K44" s="69"/>
      <c r="L44" s="69"/>
      <c r="M44" s="69"/>
      <c r="N44" s="69"/>
      <c r="O44" s="69"/>
      <c r="P44" s="69"/>
      <c r="Q44" s="69"/>
      <c r="R44" s="69"/>
      <c r="S44" s="69"/>
      <c r="T44" s="71"/>
    </row>
    <row r="45" ht="9.75" customHeight="1">
      <c r="A45" s="106"/>
      <c r="B45" s="68"/>
      <c r="D45" s="70"/>
      <c r="E45" s="69"/>
      <c r="F45" s="68"/>
      <c r="G45" s="70"/>
      <c r="H45" s="73"/>
      <c r="I45" s="74"/>
      <c r="J45" s="69"/>
      <c r="K45" s="69"/>
      <c r="L45" s="69"/>
      <c r="M45" s="69"/>
      <c r="N45" s="69"/>
      <c r="O45" s="69"/>
      <c r="P45" s="69"/>
      <c r="Q45" s="69"/>
      <c r="R45" s="69"/>
      <c r="S45" s="69"/>
      <c r="T45" s="71"/>
    </row>
    <row r="46" ht="9.75" customHeight="1">
      <c r="A46" s="106"/>
      <c r="B46" s="73"/>
      <c r="C46" s="77"/>
      <c r="D46" s="74"/>
      <c r="E46" s="69"/>
      <c r="F46" s="68"/>
      <c r="G46" s="70"/>
      <c r="H46" s="75" t="s">
        <v>55</v>
      </c>
      <c r="I46" s="76"/>
      <c r="J46" s="69"/>
      <c r="K46" s="69"/>
      <c r="L46" s="69"/>
      <c r="M46" s="69"/>
      <c r="N46" s="69"/>
      <c r="O46" s="69"/>
      <c r="P46" s="69"/>
      <c r="Q46" s="69"/>
      <c r="R46" s="69"/>
      <c r="S46" s="69"/>
      <c r="T46" s="71"/>
    </row>
    <row r="47" ht="9.75" customHeight="1">
      <c r="A47" s="106"/>
      <c r="B47" s="109" t="s">
        <v>56</v>
      </c>
      <c r="C47" s="79"/>
      <c r="D47" s="76"/>
      <c r="E47" s="69"/>
      <c r="F47" s="68"/>
      <c r="G47" s="70"/>
      <c r="H47" s="68"/>
      <c r="I47" s="70"/>
      <c r="J47" s="69"/>
      <c r="K47" s="69"/>
      <c r="L47" s="69"/>
      <c r="M47" s="69"/>
      <c r="N47" s="69"/>
      <c r="O47" s="69"/>
      <c r="P47" s="69"/>
      <c r="Q47" s="69"/>
      <c r="R47" s="69"/>
      <c r="S47" s="69"/>
      <c r="T47" s="71"/>
    </row>
    <row r="48" ht="9.75" customHeight="1">
      <c r="A48" s="106"/>
      <c r="B48" s="42"/>
      <c r="D48" s="70"/>
      <c r="E48" s="69"/>
      <c r="F48" s="68"/>
      <c r="G48" s="70"/>
      <c r="H48" s="68"/>
      <c r="I48" s="70"/>
      <c r="J48" s="69"/>
      <c r="K48" s="69"/>
      <c r="L48" s="69"/>
      <c r="M48" s="69"/>
      <c r="N48" s="69"/>
      <c r="O48" s="69"/>
      <c r="P48" s="69"/>
      <c r="Q48" s="69"/>
      <c r="R48" s="69"/>
      <c r="S48" s="69"/>
      <c r="T48" s="71"/>
    </row>
    <row r="49" ht="60.0" customHeight="1">
      <c r="A49" s="110"/>
      <c r="B49" s="38"/>
      <c r="C49" s="39"/>
      <c r="D49" s="111"/>
      <c r="E49" s="112"/>
      <c r="F49" s="113"/>
      <c r="G49" s="111"/>
      <c r="H49" s="68"/>
      <c r="I49" s="70"/>
      <c r="J49" s="112"/>
      <c r="K49" s="112"/>
      <c r="L49" s="112"/>
      <c r="M49" s="112"/>
      <c r="N49" s="112"/>
      <c r="O49" s="112"/>
      <c r="P49" s="112"/>
      <c r="Q49" s="112"/>
      <c r="R49" s="112"/>
      <c r="S49" s="112"/>
      <c r="T49" s="114"/>
    </row>
    <row r="50" ht="9.75" customHeight="1">
      <c r="A50" s="115" t="s">
        <v>57</v>
      </c>
      <c r="B50" s="116">
        <v>41000.0</v>
      </c>
      <c r="C50" s="59" t="s">
        <v>37</v>
      </c>
      <c r="D50" s="116">
        <v>42094.0</v>
      </c>
      <c r="E50" s="85" t="s">
        <v>58</v>
      </c>
      <c r="F50" s="62" t="s">
        <v>47</v>
      </c>
      <c r="G50" s="63"/>
      <c r="H50" s="64" t="s">
        <v>59</v>
      </c>
      <c r="I50" s="63"/>
      <c r="J50" s="65" t="s">
        <v>41</v>
      </c>
      <c r="K50" s="65" t="s">
        <v>41</v>
      </c>
      <c r="L50" s="65" t="s">
        <v>41</v>
      </c>
      <c r="M50" s="65" t="s">
        <v>41</v>
      </c>
      <c r="N50" s="65" t="s">
        <v>41</v>
      </c>
      <c r="O50" s="65" t="s">
        <v>41</v>
      </c>
      <c r="P50" s="65" t="s">
        <v>41</v>
      </c>
      <c r="Q50" s="65" t="s">
        <v>41</v>
      </c>
      <c r="R50" s="65" t="s">
        <v>41</v>
      </c>
      <c r="S50" s="65"/>
      <c r="T50" s="66"/>
    </row>
    <row r="51" ht="9.75" customHeight="1">
      <c r="A51" s="106"/>
      <c r="B51" s="42"/>
      <c r="D51" s="42"/>
      <c r="E51" s="69"/>
      <c r="F51" s="68"/>
      <c r="G51" s="70"/>
      <c r="H51" s="68"/>
      <c r="I51" s="70"/>
      <c r="J51" s="69"/>
      <c r="K51" s="69"/>
      <c r="L51" s="69"/>
      <c r="M51" s="69"/>
      <c r="N51" s="69"/>
      <c r="O51" s="69"/>
      <c r="P51" s="69"/>
      <c r="Q51" s="69"/>
      <c r="R51" s="69"/>
      <c r="S51" s="69"/>
      <c r="T51" s="71"/>
    </row>
    <row r="52" ht="9.75" customHeight="1">
      <c r="A52" s="106"/>
      <c r="B52" s="42"/>
      <c r="D52" s="42"/>
      <c r="E52" s="69"/>
      <c r="F52" s="68"/>
      <c r="G52" s="70"/>
      <c r="H52" s="68"/>
      <c r="I52" s="70"/>
      <c r="J52" s="69"/>
      <c r="K52" s="69"/>
      <c r="L52" s="69"/>
      <c r="M52" s="69"/>
      <c r="N52" s="69"/>
      <c r="O52" s="69"/>
      <c r="P52" s="69"/>
      <c r="Q52" s="69"/>
      <c r="R52" s="69"/>
      <c r="S52" s="69"/>
      <c r="T52" s="71"/>
    </row>
    <row r="53" ht="9.75" customHeight="1">
      <c r="A53" s="106"/>
      <c r="B53" s="107" t="str">
        <f>IF(AND(ISNUMBER(B50),ISNUMBER(D50)),"("&amp;IF(DATEDIF(B50,D50,"YM")+1=12,DATEDIF(B50,D50,"Y")+1&amp;"年",IF(0&lt;DATEDIF(B50,D50,"Y"),DATEDIF(B50,D50,"Y")&amp;"年",""))&amp;IF(DATEDIF(B50,D50,"YM")=0,"1ヶ月",IF(DATEDIF(B50,D50,"YM")+1=12,"",DATEDIF(B50,D50,"YM")+1&amp;"ヶ月"))&amp;")","")</f>
        <v>(3年)</v>
      </c>
      <c r="D53" s="70"/>
      <c r="E53" s="69"/>
      <c r="F53" s="68"/>
      <c r="G53" s="70"/>
      <c r="H53" s="73"/>
      <c r="I53" s="74"/>
      <c r="J53" s="69"/>
      <c r="K53" s="69"/>
      <c r="L53" s="69"/>
      <c r="M53" s="69"/>
      <c r="N53" s="69"/>
      <c r="O53" s="69"/>
      <c r="P53" s="69"/>
      <c r="Q53" s="69"/>
      <c r="R53" s="69"/>
      <c r="S53" s="69"/>
      <c r="T53" s="71"/>
    </row>
    <row r="54" ht="9.75" customHeight="1">
      <c r="A54" s="106"/>
      <c r="B54" s="42"/>
      <c r="D54" s="70"/>
      <c r="E54" s="69"/>
      <c r="F54" s="68"/>
      <c r="G54" s="70"/>
      <c r="H54" s="75" t="s">
        <v>60</v>
      </c>
      <c r="I54" s="76"/>
      <c r="J54" s="69"/>
      <c r="K54" s="69"/>
      <c r="L54" s="69"/>
      <c r="M54" s="69"/>
      <c r="N54" s="69"/>
      <c r="O54" s="69"/>
      <c r="P54" s="69"/>
      <c r="Q54" s="69"/>
      <c r="R54" s="69"/>
      <c r="S54" s="69"/>
      <c r="T54" s="71"/>
    </row>
    <row r="55" ht="9.75" customHeight="1">
      <c r="A55" s="106"/>
      <c r="B55" s="108"/>
      <c r="C55" s="77"/>
      <c r="D55" s="74"/>
      <c r="E55" s="69"/>
      <c r="F55" s="73"/>
      <c r="G55" s="74"/>
      <c r="H55" s="68"/>
      <c r="I55" s="70"/>
      <c r="J55" s="69"/>
      <c r="K55" s="69"/>
      <c r="L55" s="69"/>
      <c r="M55" s="69"/>
      <c r="N55" s="69"/>
      <c r="O55" s="69"/>
      <c r="P55" s="69"/>
      <c r="Q55" s="69"/>
      <c r="R55" s="69"/>
      <c r="S55" s="69"/>
      <c r="T55" s="71"/>
    </row>
    <row r="56" ht="9.75" customHeight="1">
      <c r="A56" s="106"/>
      <c r="B56" s="78" t="s">
        <v>43</v>
      </c>
      <c r="C56" s="79"/>
      <c r="D56" s="76"/>
      <c r="E56" s="69"/>
      <c r="F56" s="80">
        <v>1.0</v>
      </c>
      <c r="G56" s="76"/>
      <c r="H56" s="68"/>
      <c r="I56" s="70"/>
      <c r="J56" s="69"/>
      <c r="K56" s="69"/>
      <c r="L56" s="69"/>
      <c r="M56" s="69"/>
      <c r="N56" s="69"/>
      <c r="O56" s="69"/>
      <c r="P56" s="69"/>
      <c r="Q56" s="69"/>
      <c r="R56" s="69"/>
      <c r="S56" s="69"/>
      <c r="T56" s="71"/>
    </row>
    <row r="57" ht="9.75" customHeight="1">
      <c r="A57" s="106"/>
      <c r="B57" s="68"/>
      <c r="D57" s="70"/>
      <c r="E57" s="69"/>
      <c r="F57" s="68"/>
      <c r="G57" s="70"/>
      <c r="H57" s="73"/>
      <c r="I57" s="74"/>
      <c r="J57" s="69"/>
      <c r="K57" s="69"/>
      <c r="L57" s="69"/>
      <c r="M57" s="69"/>
      <c r="N57" s="69"/>
      <c r="O57" s="69"/>
      <c r="P57" s="69"/>
      <c r="Q57" s="69"/>
      <c r="R57" s="69"/>
      <c r="S57" s="69"/>
      <c r="T57" s="71"/>
    </row>
    <row r="58" ht="9.75" customHeight="1">
      <c r="A58" s="106"/>
      <c r="B58" s="73"/>
      <c r="C58" s="77"/>
      <c r="D58" s="74"/>
      <c r="E58" s="69"/>
      <c r="F58" s="68"/>
      <c r="G58" s="70"/>
      <c r="H58" s="75" t="s">
        <v>61</v>
      </c>
      <c r="I58" s="76"/>
      <c r="J58" s="69"/>
      <c r="K58" s="69"/>
      <c r="L58" s="69"/>
      <c r="M58" s="69"/>
      <c r="N58" s="69"/>
      <c r="O58" s="69"/>
      <c r="P58" s="69"/>
      <c r="Q58" s="69"/>
      <c r="R58" s="69"/>
      <c r="S58" s="69"/>
      <c r="T58" s="71"/>
    </row>
    <row r="59" ht="9.75" customHeight="1">
      <c r="A59" s="106"/>
      <c r="B59" s="109" t="s">
        <v>62</v>
      </c>
      <c r="C59" s="79"/>
      <c r="D59" s="76"/>
      <c r="E59" s="69"/>
      <c r="F59" s="68"/>
      <c r="G59" s="70"/>
      <c r="H59" s="68"/>
      <c r="I59" s="70"/>
      <c r="J59" s="69"/>
      <c r="K59" s="69"/>
      <c r="L59" s="69"/>
      <c r="M59" s="69"/>
      <c r="N59" s="69"/>
      <c r="O59" s="69"/>
      <c r="P59" s="69"/>
      <c r="Q59" s="69"/>
      <c r="R59" s="69"/>
      <c r="S59" s="69"/>
      <c r="T59" s="71"/>
    </row>
    <row r="60" ht="9.75" customHeight="1">
      <c r="A60" s="106"/>
      <c r="B60" s="42"/>
      <c r="D60" s="70"/>
      <c r="E60" s="69"/>
      <c r="F60" s="68"/>
      <c r="G60" s="70"/>
      <c r="H60" s="68"/>
      <c r="I60" s="70"/>
      <c r="J60" s="69"/>
      <c r="K60" s="69"/>
      <c r="L60" s="69"/>
      <c r="M60" s="69"/>
      <c r="N60" s="69"/>
      <c r="O60" s="69"/>
      <c r="P60" s="69"/>
      <c r="Q60" s="69"/>
      <c r="R60" s="69"/>
      <c r="S60" s="69"/>
      <c r="T60" s="71"/>
    </row>
    <row r="61" ht="166.5" customHeight="1">
      <c r="A61" s="117"/>
      <c r="B61" s="53"/>
      <c r="C61" s="21"/>
      <c r="D61" s="93"/>
      <c r="E61" s="94"/>
      <c r="F61" s="95"/>
      <c r="G61" s="93"/>
      <c r="H61" s="95"/>
      <c r="I61" s="93"/>
      <c r="J61" s="94"/>
      <c r="K61" s="94"/>
      <c r="L61" s="94"/>
      <c r="M61" s="94"/>
      <c r="N61" s="94"/>
      <c r="O61" s="94"/>
      <c r="P61" s="94"/>
      <c r="Q61" s="94"/>
      <c r="R61" s="94"/>
      <c r="S61" s="94"/>
      <c r="T61" s="96"/>
    </row>
    <row r="62" ht="9.75" customHeight="1">
      <c r="A62" s="118" t="s">
        <v>63</v>
      </c>
      <c r="B62" s="100">
        <v>38899.0</v>
      </c>
      <c r="C62" s="99" t="s">
        <v>37</v>
      </c>
      <c r="D62" s="119">
        <v>40999.0</v>
      </c>
      <c r="E62" s="101" t="s">
        <v>64</v>
      </c>
      <c r="F62" s="102" t="s">
        <v>47</v>
      </c>
      <c r="G62" s="70"/>
      <c r="H62" s="103" t="s">
        <v>59</v>
      </c>
      <c r="I62" s="70"/>
      <c r="J62" s="104" t="s">
        <v>41</v>
      </c>
      <c r="K62" s="104" t="s">
        <v>41</v>
      </c>
      <c r="L62" s="104" t="s">
        <v>41</v>
      </c>
      <c r="M62" s="104" t="s">
        <v>41</v>
      </c>
      <c r="N62" s="104" t="s">
        <v>41</v>
      </c>
      <c r="O62" s="104" t="s">
        <v>41</v>
      </c>
      <c r="P62" s="104" t="s">
        <v>41</v>
      </c>
      <c r="Q62" s="104" t="s">
        <v>41</v>
      </c>
      <c r="R62" s="104" t="s">
        <v>41</v>
      </c>
      <c r="S62" s="104"/>
      <c r="T62" s="105"/>
    </row>
    <row r="63" ht="9.75" customHeight="1">
      <c r="A63" s="67"/>
      <c r="B63" s="68"/>
      <c r="D63" s="70"/>
      <c r="E63" s="69"/>
      <c r="F63" s="68"/>
      <c r="G63" s="70"/>
      <c r="H63" s="68"/>
      <c r="I63" s="70"/>
      <c r="J63" s="69"/>
      <c r="K63" s="69"/>
      <c r="L63" s="69"/>
      <c r="M63" s="69"/>
      <c r="N63" s="69"/>
      <c r="O63" s="69"/>
      <c r="P63" s="69"/>
      <c r="Q63" s="69"/>
      <c r="R63" s="69"/>
      <c r="S63" s="69"/>
      <c r="T63" s="71"/>
    </row>
    <row r="64" ht="9.75" customHeight="1">
      <c r="A64" s="67"/>
      <c r="B64" s="68"/>
      <c r="D64" s="70"/>
      <c r="E64" s="69"/>
      <c r="F64" s="68"/>
      <c r="G64" s="70"/>
      <c r="H64" s="68"/>
      <c r="I64" s="70"/>
      <c r="J64" s="69"/>
      <c r="K64" s="69"/>
      <c r="L64" s="69"/>
      <c r="M64" s="69"/>
      <c r="N64" s="69"/>
      <c r="O64" s="69"/>
      <c r="P64" s="69"/>
      <c r="Q64" s="69"/>
      <c r="R64" s="69"/>
      <c r="S64" s="69"/>
      <c r="T64" s="71"/>
    </row>
    <row r="65" ht="9.75" customHeight="1">
      <c r="A65" s="67"/>
      <c r="B65" s="72" t="str">
        <f>IF(AND(ISNUMBER(B62),ISNUMBER(D62)),"("&amp;IF(DATEDIF(B62,D62,"YM")+1=12,DATEDIF(B62,D62,"Y")+1&amp;"年",IF(0&lt;DATEDIF(B62,D62,"Y"),DATEDIF(B62,D62,"Y")&amp;"年",""))&amp;IF(DATEDIF(B62,D62,"YM")=0,"1ヶ月",IF(DATEDIF(B62,D62,"YM")+1=12,"",DATEDIF(B62,D62,"YM")+1&amp;"ヶ月"))&amp;")","")</f>
        <v>(5年9ヶ月)</v>
      </c>
      <c r="D65" s="70"/>
      <c r="E65" s="69"/>
      <c r="F65" s="68"/>
      <c r="G65" s="70"/>
      <c r="H65" s="73"/>
      <c r="I65" s="74"/>
      <c r="J65" s="69"/>
      <c r="K65" s="69"/>
      <c r="L65" s="69"/>
      <c r="M65" s="69"/>
      <c r="N65" s="69"/>
      <c r="O65" s="69"/>
      <c r="P65" s="69"/>
      <c r="Q65" s="69"/>
      <c r="R65" s="69"/>
      <c r="S65" s="69"/>
      <c r="T65" s="71"/>
    </row>
    <row r="66" ht="9.75" customHeight="1">
      <c r="A66" s="67"/>
      <c r="B66" s="68"/>
      <c r="D66" s="70"/>
      <c r="E66" s="69"/>
      <c r="F66" s="68"/>
      <c r="G66" s="70"/>
      <c r="H66" s="75" t="s">
        <v>65</v>
      </c>
      <c r="I66" s="76"/>
      <c r="J66" s="69"/>
      <c r="K66" s="69"/>
      <c r="L66" s="69"/>
      <c r="M66" s="69"/>
      <c r="N66" s="69"/>
      <c r="O66" s="69"/>
      <c r="P66" s="69"/>
      <c r="Q66" s="69"/>
      <c r="R66" s="69"/>
      <c r="S66" s="69"/>
      <c r="T66" s="71"/>
    </row>
    <row r="67" ht="9.75" customHeight="1">
      <c r="A67" s="67"/>
      <c r="B67" s="73"/>
      <c r="C67" s="77"/>
      <c r="D67" s="74"/>
      <c r="E67" s="69"/>
      <c r="F67" s="73"/>
      <c r="G67" s="74"/>
      <c r="H67" s="68"/>
      <c r="I67" s="70"/>
      <c r="J67" s="69"/>
      <c r="K67" s="69"/>
      <c r="L67" s="69"/>
      <c r="M67" s="69"/>
      <c r="N67" s="69"/>
      <c r="O67" s="69"/>
      <c r="P67" s="69"/>
      <c r="Q67" s="69"/>
      <c r="R67" s="69"/>
      <c r="S67" s="69"/>
      <c r="T67" s="71"/>
    </row>
    <row r="68" ht="9.75" customHeight="1">
      <c r="A68" s="67"/>
      <c r="B68" s="78" t="s">
        <v>43</v>
      </c>
      <c r="C68" s="79"/>
      <c r="D68" s="76"/>
      <c r="E68" s="69"/>
      <c r="F68" s="80">
        <v>1.0</v>
      </c>
      <c r="G68" s="76"/>
      <c r="H68" s="68"/>
      <c r="I68" s="70"/>
      <c r="J68" s="69"/>
      <c r="K68" s="69"/>
      <c r="L68" s="69"/>
      <c r="M68" s="69"/>
      <c r="N68" s="69"/>
      <c r="O68" s="69"/>
      <c r="P68" s="69"/>
      <c r="Q68" s="69"/>
      <c r="R68" s="69"/>
      <c r="S68" s="69"/>
      <c r="T68" s="71"/>
    </row>
    <row r="69" ht="9.75" customHeight="1">
      <c r="A69" s="67"/>
      <c r="B69" s="68"/>
      <c r="D69" s="70"/>
      <c r="E69" s="69"/>
      <c r="F69" s="68"/>
      <c r="G69" s="70"/>
      <c r="H69" s="73"/>
      <c r="I69" s="74"/>
      <c r="J69" s="69"/>
      <c r="K69" s="69"/>
      <c r="L69" s="69"/>
      <c r="M69" s="69"/>
      <c r="N69" s="69"/>
      <c r="O69" s="69"/>
      <c r="P69" s="69"/>
      <c r="Q69" s="69"/>
      <c r="R69" s="69"/>
      <c r="S69" s="69"/>
      <c r="T69" s="71"/>
    </row>
    <row r="70" ht="9.75" customHeight="1">
      <c r="A70" s="67"/>
      <c r="B70" s="73"/>
      <c r="C70" s="77"/>
      <c r="D70" s="74"/>
      <c r="E70" s="69"/>
      <c r="F70" s="68"/>
      <c r="G70" s="70"/>
      <c r="H70" s="75" t="s">
        <v>66</v>
      </c>
      <c r="I70" s="76"/>
      <c r="J70" s="69"/>
      <c r="K70" s="69"/>
      <c r="L70" s="69"/>
      <c r="M70" s="69"/>
      <c r="N70" s="69"/>
      <c r="O70" s="69"/>
      <c r="P70" s="69"/>
      <c r="Q70" s="69"/>
      <c r="R70" s="69"/>
      <c r="S70" s="69"/>
      <c r="T70" s="71"/>
    </row>
    <row r="71" ht="9.75" customHeight="1">
      <c r="A71" s="67"/>
      <c r="B71" s="82" t="s">
        <v>67</v>
      </c>
      <c r="C71" s="79"/>
      <c r="D71" s="76"/>
      <c r="E71" s="69"/>
      <c r="F71" s="68"/>
      <c r="G71" s="70"/>
      <c r="H71" s="68"/>
      <c r="I71" s="70"/>
      <c r="J71" s="69"/>
      <c r="K71" s="69"/>
      <c r="L71" s="69"/>
      <c r="M71" s="69"/>
      <c r="N71" s="69"/>
      <c r="O71" s="69"/>
      <c r="P71" s="69"/>
      <c r="Q71" s="69"/>
      <c r="R71" s="69"/>
      <c r="S71" s="69"/>
      <c r="T71" s="71"/>
    </row>
    <row r="72" ht="9.75" customHeight="1">
      <c r="A72" s="67"/>
      <c r="B72" s="68"/>
      <c r="D72" s="70"/>
      <c r="E72" s="69"/>
      <c r="F72" s="68"/>
      <c r="G72" s="70"/>
      <c r="H72" s="68"/>
      <c r="I72" s="70"/>
      <c r="J72" s="69"/>
      <c r="K72" s="69"/>
      <c r="L72" s="69"/>
      <c r="M72" s="69"/>
      <c r="N72" s="69"/>
      <c r="O72" s="69"/>
      <c r="P72" s="69"/>
      <c r="Q72" s="69"/>
      <c r="R72" s="69"/>
      <c r="S72" s="69"/>
      <c r="T72" s="71"/>
    </row>
    <row r="73" ht="112.5" customHeight="1">
      <c r="A73" s="120"/>
      <c r="B73" s="95"/>
      <c r="C73" s="21"/>
      <c r="D73" s="93"/>
      <c r="E73" s="94"/>
      <c r="F73" s="95"/>
      <c r="G73" s="93"/>
      <c r="H73" s="95"/>
      <c r="I73" s="93"/>
      <c r="J73" s="94"/>
      <c r="K73" s="94"/>
      <c r="L73" s="94"/>
      <c r="M73" s="94"/>
      <c r="N73" s="94"/>
      <c r="O73" s="94"/>
      <c r="P73" s="94"/>
      <c r="Q73" s="94"/>
      <c r="R73" s="94"/>
      <c r="S73" s="94"/>
      <c r="T73" s="9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sheetData>
  <mergeCells count="157">
    <mergeCell ref="H10:I11"/>
    <mergeCell ref="J10:J13"/>
    <mergeCell ref="K10:K13"/>
    <mergeCell ref="L10:L13"/>
    <mergeCell ref="M10:M13"/>
    <mergeCell ref="N10:N13"/>
    <mergeCell ref="O10:O13"/>
    <mergeCell ref="H18:I21"/>
    <mergeCell ref="H22:I25"/>
    <mergeCell ref="H8:I9"/>
    <mergeCell ref="H12:I13"/>
    <mergeCell ref="H14:I17"/>
    <mergeCell ref="J14:J25"/>
    <mergeCell ref="K14:K25"/>
    <mergeCell ref="L14:L25"/>
    <mergeCell ref="M14:M25"/>
    <mergeCell ref="B8:D9"/>
    <mergeCell ref="B10:D11"/>
    <mergeCell ref="B14:B16"/>
    <mergeCell ref="C14:C16"/>
    <mergeCell ref="D14:D16"/>
    <mergeCell ref="E14:E25"/>
    <mergeCell ref="B23:D25"/>
    <mergeCell ref="B41:D43"/>
    <mergeCell ref="B44:D46"/>
    <mergeCell ref="A38:A49"/>
    <mergeCell ref="A50:A61"/>
    <mergeCell ref="A62:A73"/>
    <mergeCell ref="B17:D19"/>
    <mergeCell ref="B20:D22"/>
    <mergeCell ref="B38:B40"/>
    <mergeCell ref="C38:C40"/>
    <mergeCell ref="D38:D40"/>
    <mergeCell ref="E38:E49"/>
    <mergeCell ref="B47:D49"/>
    <mergeCell ref="B62:B64"/>
    <mergeCell ref="C62:C64"/>
    <mergeCell ref="D62:D64"/>
    <mergeCell ref="E62:E73"/>
    <mergeCell ref="B65:D67"/>
    <mergeCell ref="B68:D70"/>
    <mergeCell ref="B71:D73"/>
    <mergeCell ref="B50:B52"/>
    <mergeCell ref="C50:C52"/>
    <mergeCell ref="D50:D52"/>
    <mergeCell ref="E50:E61"/>
    <mergeCell ref="B53:D55"/>
    <mergeCell ref="B56:D58"/>
    <mergeCell ref="B59:D61"/>
    <mergeCell ref="Q26:Q37"/>
    <mergeCell ref="R26:R37"/>
    <mergeCell ref="J26:J37"/>
    <mergeCell ref="K26:K37"/>
    <mergeCell ref="L26:L37"/>
    <mergeCell ref="M26:M37"/>
    <mergeCell ref="N26:N37"/>
    <mergeCell ref="O26:O37"/>
    <mergeCell ref="P26:P37"/>
    <mergeCell ref="I3:T3"/>
    <mergeCell ref="C4:T4"/>
    <mergeCell ref="B6:T6"/>
    <mergeCell ref="J8:T9"/>
    <mergeCell ref="A1:B1"/>
    <mergeCell ref="C1:F1"/>
    <mergeCell ref="G1:H1"/>
    <mergeCell ref="I1:T1"/>
    <mergeCell ref="C2:F2"/>
    <mergeCell ref="G2:H2"/>
    <mergeCell ref="I2:T2"/>
    <mergeCell ref="P10:P13"/>
    <mergeCell ref="Q10:Q13"/>
    <mergeCell ref="R10:R13"/>
    <mergeCell ref="S10:S13"/>
    <mergeCell ref="T10:T13"/>
    <mergeCell ref="A2:B2"/>
    <mergeCell ref="A3:B3"/>
    <mergeCell ref="C3:F3"/>
    <mergeCell ref="G3:H3"/>
    <mergeCell ref="A4:B4"/>
    <mergeCell ref="A8:A13"/>
    <mergeCell ref="B12:D13"/>
    <mergeCell ref="S26:S37"/>
    <mergeCell ref="T26:T37"/>
    <mergeCell ref="N14:N25"/>
    <mergeCell ref="O14:O25"/>
    <mergeCell ref="P14:P25"/>
    <mergeCell ref="Q14:Q25"/>
    <mergeCell ref="R14:R25"/>
    <mergeCell ref="S14:S25"/>
    <mergeCell ref="T14:T25"/>
    <mergeCell ref="B32:D34"/>
    <mergeCell ref="B35:D37"/>
    <mergeCell ref="A14:A25"/>
    <mergeCell ref="A26:A37"/>
    <mergeCell ref="B26:B28"/>
    <mergeCell ref="C26:C28"/>
    <mergeCell ref="D26:D28"/>
    <mergeCell ref="E26:E37"/>
    <mergeCell ref="B29:D31"/>
    <mergeCell ref="H42:I45"/>
    <mergeCell ref="H46:I49"/>
    <mergeCell ref="H50:I53"/>
    <mergeCell ref="J50:J61"/>
    <mergeCell ref="K50:K61"/>
    <mergeCell ref="L50:L61"/>
    <mergeCell ref="M50:M61"/>
    <mergeCell ref="H54:I57"/>
    <mergeCell ref="H58:I61"/>
    <mergeCell ref="H62:I65"/>
    <mergeCell ref="J62:J73"/>
    <mergeCell ref="K62:K73"/>
    <mergeCell ref="L62:L73"/>
    <mergeCell ref="M62:M73"/>
    <mergeCell ref="F26:G31"/>
    <mergeCell ref="F32:G37"/>
    <mergeCell ref="F38:G43"/>
    <mergeCell ref="F44:G49"/>
    <mergeCell ref="F50:G55"/>
    <mergeCell ref="F56:G61"/>
    <mergeCell ref="F62:G67"/>
    <mergeCell ref="F68:G73"/>
    <mergeCell ref="E8:E13"/>
    <mergeCell ref="F8:G10"/>
    <mergeCell ref="F11:G13"/>
    <mergeCell ref="F14:G19"/>
    <mergeCell ref="F20:G25"/>
    <mergeCell ref="H26:I29"/>
    <mergeCell ref="H30:I33"/>
    <mergeCell ref="O38:O49"/>
    <mergeCell ref="P38:P49"/>
    <mergeCell ref="Q38:Q49"/>
    <mergeCell ref="R38:R49"/>
    <mergeCell ref="S38:S49"/>
    <mergeCell ref="T38:T49"/>
    <mergeCell ref="H34:I37"/>
    <mergeCell ref="H38:I41"/>
    <mergeCell ref="J38:J49"/>
    <mergeCell ref="K38:K49"/>
    <mergeCell ref="L38:L49"/>
    <mergeCell ref="M38:M49"/>
    <mergeCell ref="N38:N49"/>
    <mergeCell ref="N50:N61"/>
    <mergeCell ref="O50:O61"/>
    <mergeCell ref="P50:P61"/>
    <mergeCell ref="Q50:Q61"/>
    <mergeCell ref="R50:R61"/>
    <mergeCell ref="S50:S61"/>
    <mergeCell ref="T50:T61"/>
    <mergeCell ref="N62:N73"/>
    <mergeCell ref="O62:O73"/>
    <mergeCell ref="P62:P73"/>
    <mergeCell ref="Q62:Q73"/>
    <mergeCell ref="R62:R73"/>
    <mergeCell ref="S62:S73"/>
    <mergeCell ref="T62:T73"/>
    <mergeCell ref="H66:I69"/>
    <mergeCell ref="H70:I73"/>
  </mergeCells>
  <dataValidations>
    <dataValidation type="list" allowBlank="1" sqref="F14 F26 F38 F50 F62">
      <formula1>"マネージャ,リーダー,サブリーダー,ＳＥ,ＰＧ,テスター,オペレータ,補助要員,その他"</formula1>
    </dataValidation>
    <dataValidation type="list" allowBlank="1" showInputMessage="1" showErrorMessage="1" prompt="入力エラー - 性別は「男」または「女」と入力してください。" sqref="I1">
      <formula1>"男,女"</formula1>
    </dataValidation>
    <dataValidation type="list" allowBlank="1" sqref="J14:T14 J26:T26 J38:T38 J50:T50 J62:T62">
      <formula1>"●"</formula1>
    </dataValidation>
  </dataValidations>
  <printOptions horizontalCentered="1"/>
  <pageMargins bottom="0.5511811023622047" footer="0.0" header="0.0" left="0.31496062992125984" right="0.31496062992125984" top="0.7480314960629921"/>
  <pageSetup paperSize="9" orientation="portrait"/>
  <headerFooter>
    <oddHeader>&amp;C技 術 経 歴 書</oddHeader>
    <oddFooter>&amp;R( &amp;P /  )</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